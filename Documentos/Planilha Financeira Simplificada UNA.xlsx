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Lucas\OneDrive\Desktop\Trabalho A3\"/>
    </mc:Choice>
  </mc:AlternateContent>
  <xr:revisionPtr revIDLastSave="0" documentId="13_ncr:1_{95BA2D14-FD5D-4EFC-94D0-ED8059B3B0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MISSAS" sheetId="2" r:id="rId1"/>
    <sheet name="RH" sheetId="3" r:id="rId2"/>
    <sheet name="RESULTADO (DRE)" sheetId="1" r:id="rId3"/>
    <sheet name="VIABILIDADE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2" i="1" l="1"/>
  <c r="E51" i="1"/>
  <c r="E50" i="1"/>
  <c r="E53" i="1"/>
  <c r="E49" i="1"/>
  <c r="E32" i="1"/>
  <c r="E74" i="1"/>
  <c r="J12" i="1"/>
  <c r="J11" i="1"/>
  <c r="J10" i="1"/>
  <c r="J9" i="1"/>
  <c r="J8" i="1"/>
  <c r="N12" i="1"/>
  <c r="N11" i="1"/>
  <c r="N10" i="1"/>
  <c r="N9" i="1"/>
  <c r="N8" i="1"/>
  <c r="E5" i="3"/>
  <c r="Q63" i="1"/>
  <c r="E6" i="3"/>
  <c r="Q64" i="1"/>
  <c r="E7" i="3"/>
  <c r="Q65" i="1"/>
  <c r="E8" i="3"/>
  <c r="Q66" i="1"/>
  <c r="E11" i="3"/>
  <c r="Q69" i="1"/>
  <c r="E10" i="3"/>
  <c r="Q68" i="1"/>
  <c r="E9" i="3"/>
  <c r="Q67" i="1"/>
  <c r="E12" i="3"/>
  <c r="Q70" i="1"/>
  <c r="E13" i="3"/>
  <c r="Q71" i="1"/>
  <c r="E14" i="3"/>
  <c r="Q72" i="1"/>
  <c r="Q62" i="1"/>
  <c r="F56" i="1"/>
  <c r="G56" i="1"/>
  <c r="H56" i="1"/>
  <c r="I56" i="1"/>
  <c r="J56" i="1"/>
  <c r="K56" i="1"/>
  <c r="L56" i="1"/>
  <c r="M56" i="1"/>
  <c r="N56" i="1"/>
  <c r="O56" i="1"/>
  <c r="P56" i="1"/>
  <c r="Q56" i="1"/>
  <c r="T30" i="2"/>
  <c r="F60" i="1"/>
  <c r="G60" i="1"/>
  <c r="H60" i="1"/>
  <c r="I60" i="1"/>
  <c r="J60" i="1"/>
  <c r="K60" i="1"/>
  <c r="L60" i="1"/>
  <c r="M60" i="1"/>
  <c r="N60" i="1"/>
  <c r="O60" i="1"/>
  <c r="P60" i="1"/>
  <c r="Q60" i="1"/>
  <c r="F57" i="1"/>
  <c r="G57" i="1"/>
  <c r="H57" i="1"/>
  <c r="I57" i="1"/>
  <c r="J57" i="1"/>
  <c r="K57" i="1"/>
  <c r="L57" i="1"/>
  <c r="M57" i="1"/>
  <c r="N57" i="1"/>
  <c r="O57" i="1"/>
  <c r="P57" i="1"/>
  <c r="Q57" i="1"/>
  <c r="F58" i="1"/>
  <c r="G58" i="1"/>
  <c r="H58" i="1"/>
  <c r="I58" i="1"/>
  <c r="J58" i="1"/>
  <c r="K58" i="1"/>
  <c r="L58" i="1"/>
  <c r="M58" i="1"/>
  <c r="N58" i="1"/>
  <c r="O58" i="1"/>
  <c r="P58" i="1"/>
  <c r="Q58" i="1"/>
  <c r="F59" i="1"/>
  <c r="G59" i="1"/>
  <c r="H59" i="1"/>
  <c r="I59" i="1"/>
  <c r="J59" i="1"/>
  <c r="K59" i="1"/>
  <c r="L59" i="1"/>
  <c r="M59" i="1"/>
  <c r="N59" i="1"/>
  <c r="O59" i="1"/>
  <c r="P59" i="1"/>
  <c r="Q59" i="1"/>
  <c r="Q55" i="1"/>
  <c r="Q7" i="1"/>
  <c r="Q8" i="1"/>
  <c r="Q9" i="1"/>
  <c r="Q10" i="1"/>
  <c r="Q11" i="1"/>
  <c r="Q12" i="1"/>
  <c r="Q6" i="1"/>
  <c r="Q15" i="1"/>
  <c r="Q16" i="1"/>
  <c r="Q17" i="1"/>
  <c r="Q18" i="1"/>
  <c r="Q19" i="1"/>
  <c r="Q20" i="1"/>
  <c r="Q14" i="1"/>
  <c r="F26" i="1"/>
  <c r="G26" i="1"/>
  <c r="H26" i="1"/>
  <c r="I26" i="1"/>
  <c r="J26" i="1"/>
  <c r="K26" i="1"/>
  <c r="L26" i="1"/>
  <c r="M26" i="1"/>
  <c r="N26" i="1"/>
  <c r="O26" i="1"/>
  <c r="P26" i="1"/>
  <c r="Q26" i="1"/>
  <c r="F27" i="1"/>
  <c r="G27" i="1"/>
  <c r="H27" i="1"/>
  <c r="I27" i="1"/>
  <c r="J27" i="1"/>
  <c r="K27" i="1"/>
  <c r="L27" i="1"/>
  <c r="M27" i="1"/>
  <c r="N27" i="1"/>
  <c r="O27" i="1"/>
  <c r="P27" i="1"/>
  <c r="Q27" i="1"/>
  <c r="F28" i="1"/>
  <c r="G28" i="1"/>
  <c r="H28" i="1"/>
  <c r="I28" i="1"/>
  <c r="J28" i="1"/>
  <c r="K28" i="1"/>
  <c r="L28" i="1"/>
  <c r="M28" i="1"/>
  <c r="N28" i="1"/>
  <c r="O28" i="1"/>
  <c r="P28" i="1"/>
  <c r="Q28" i="1"/>
  <c r="F29" i="1"/>
  <c r="G29" i="1"/>
  <c r="H29" i="1"/>
  <c r="I29" i="1"/>
  <c r="J29" i="1"/>
  <c r="K29" i="1"/>
  <c r="L29" i="1"/>
  <c r="M29" i="1"/>
  <c r="N29" i="1"/>
  <c r="O29" i="1"/>
  <c r="P29" i="1"/>
  <c r="Q29" i="1"/>
  <c r="L22" i="2"/>
  <c r="F30" i="1"/>
  <c r="G30" i="1"/>
  <c r="H30" i="1"/>
  <c r="I30" i="1"/>
  <c r="J30" i="1"/>
  <c r="K30" i="1"/>
  <c r="L30" i="1"/>
  <c r="M30" i="1"/>
  <c r="N30" i="1"/>
  <c r="O30" i="1"/>
  <c r="P30" i="1"/>
  <c r="Q30" i="1"/>
  <c r="Q25" i="1"/>
  <c r="F33" i="1"/>
  <c r="G33" i="1"/>
  <c r="H33" i="1"/>
  <c r="I33" i="1"/>
  <c r="J33" i="1"/>
  <c r="K33" i="1"/>
  <c r="L33" i="1"/>
  <c r="M33" i="1"/>
  <c r="N33" i="1"/>
  <c r="O33" i="1"/>
  <c r="P33" i="1"/>
  <c r="Q33" i="1"/>
  <c r="F34" i="1"/>
  <c r="G34" i="1"/>
  <c r="H34" i="1"/>
  <c r="I34" i="1"/>
  <c r="J34" i="1"/>
  <c r="K34" i="1"/>
  <c r="L34" i="1"/>
  <c r="M34" i="1"/>
  <c r="N34" i="1"/>
  <c r="O34" i="1"/>
  <c r="P34" i="1"/>
  <c r="Q34" i="1"/>
  <c r="F35" i="1"/>
  <c r="G35" i="1"/>
  <c r="H35" i="1"/>
  <c r="I35" i="1"/>
  <c r="J35" i="1"/>
  <c r="K35" i="1"/>
  <c r="L35" i="1"/>
  <c r="M35" i="1"/>
  <c r="N35" i="1"/>
  <c r="O35" i="1"/>
  <c r="P35" i="1"/>
  <c r="Q35" i="1"/>
  <c r="F36" i="1"/>
  <c r="G36" i="1"/>
  <c r="H36" i="1"/>
  <c r="I36" i="1"/>
  <c r="J36" i="1"/>
  <c r="K36" i="1"/>
  <c r="L36" i="1"/>
  <c r="M36" i="1"/>
  <c r="N36" i="1"/>
  <c r="O36" i="1"/>
  <c r="P36" i="1"/>
  <c r="Q36" i="1"/>
  <c r="F37" i="1"/>
  <c r="G37" i="1"/>
  <c r="H37" i="1"/>
  <c r="I37" i="1"/>
  <c r="J37" i="1"/>
  <c r="K37" i="1"/>
  <c r="L37" i="1"/>
  <c r="M37" i="1"/>
  <c r="N37" i="1"/>
  <c r="O37" i="1"/>
  <c r="P37" i="1"/>
  <c r="Q37" i="1"/>
  <c r="F38" i="1"/>
  <c r="G38" i="1"/>
  <c r="H38" i="1"/>
  <c r="I38" i="1"/>
  <c r="J38" i="1"/>
  <c r="K38" i="1"/>
  <c r="L38" i="1"/>
  <c r="M38" i="1"/>
  <c r="N38" i="1"/>
  <c r="O38" i="1"/>
  <c r="P38" i="1"/>
  <c r="Q38" i="1"/>
  <c r="F39" i="1"/>
  <c r="G39" i="1"/>
  <c r="H39" i="1"/>
  <c r="I39" i="1"/>
  <c r="J39" i="1"/>
  <c r="K39" i="1"/>
  <c r="L39" i="1"/>
  <c r="M39" i="1"/>
  <c r="N39" i="1"/>
  <c r="O39" i="1"/>
  <c r="P39" i="1"/>
  <c r="Q39" i="1"/>
  <c r="F40" i="1"/>
  <c r="G40" i="1"/>
  <c r="H40" i="1"/>
  <c r="I40" i="1"/>
  <c r="J40" i="1"/>
  <c r="K40" i="1"/>
  <c r="L40" i="1"/>
  <c r="M40" i="1"/>
  <c r="N40" i="1"/>
  <c r="O40" i="1"/>
  <c r="P40" i="1"/>
  <c r="Q40" i="1"/>
  <c r="F41" i="1"/>
  <c r="G41" i="1"/>
  <c r="H41" i="1"/>
  <c r="I41" i="1"/>
  <c r="J41" i="1"/>
  <c r="K41" i="1"/>
  <c r="L41" i="1"/>
  <c r="M41" i="1"/>
  <c r="N41" i="1"/>
  <c r="O41" i="1"/>
  <c r="P41" i="1"/>
  <c r="Q41" i="1"/>
  <c r="F42" i="1"/>
  <c r="G42" i="1"/>
  <c r="H42" i="1"/>
  <c r="I42" i="1"/>
  <c r="J42" i="1"/>
  <c r="K42" i="1"/>
  <c r="L42" i="1"/>
  <c r="M42" i="1"/>
  <c r="N42" i="1"/>
  <c r="O42" i="1"/>
  <c r="P42" i="1"/>
  <c r="Q42" i="1"/>
  <c r="F43" i="1"/>
  <c r="G43" i="1"/>
  <c r="H43" i="1"/>
  <c r="I43" i="1"/>
  <c r="J43" i="1"/>
  <c r="K43" i="1"/>
  <c r="L43" i="1"/>
  <c r="M43" i="1"/>
  <c r="N43" i="1"/>
  <c r="O43" i="1"/>
  <c r="P43" i="1"/>
  <c r="Q43" i="1"/>
  <c r="F44" i="1"/>
  <c r="G44" i="1"/>
  <c r="H44" i="1"/>
  <c r="I44" i="1"/>
  <c r="J44" i="1"/>
  <c r="K44" i="1"/>
  <c r="L44" i="1"/>
  <c r="M44" i="1"/>
  <c r="N44" i="1"/>
  <c r="O44" i="1"/>
  <c r="P44" i="1"/>
  <c r="Q44" i="1"/>
  <c r="F45" i="1"/>
  <c r="G45" i="1"/>
  <c r="H45" i="1"/>
  <c r="I45" i="1"/>
  <c r="J45" i="1"/>
  <c r="K45" i="1"/>
  <c r="L45" i="1"/>
  <c r="M45" i="1"/>
  <c r="N45" i="1"/>
  <c r="O45" i="1"/>
  <c r="P45" i="1"/>
  <c r="Q45" i="1"/>
  <c r="F46" i="1"/>
  <c r="G46" i="1"/>
  <c r="H46" i="1"/>
  <c r="I46" i="1"/>
  <c r="J46" i="1"/>
  <c r="K46" i="1"/>
  <c r="L46" i="1"/>
  <c r="M46" i="1"/>
  <c r="N46" i="1"/>
  <c r="O46" i="1"/>
  <c r="P46" i="1"/>
  <c r="Q46" i="1"/>
  <c r="L41" i="2"/>
  <c r="F47" i="1"/>
  <c r="G47" i="1"/>
  <c r="H47" i="1"/>
  <c r="I47" i="1"/>
  <c r="J47" i="1"/>
  <c r="K47" i="1"/>
  <c r="L47" i="1"/>
  <c r="M47" i="1"/>
  <c r="N47" i="1"/>
  <c r="O47" i="1"/>
  <c r="P47" i="1"/>
  <c r="Q47" i="1"/>
  <c r="Q32" i="1"/>
  <c r="Q74" i="1"/>
  <c r="P63" i="1"/>
  <c r="P64" i="1"/>
  <c r="P65" i="1"/>
  <c r="P66" i="1"/>
  <c r="P69" i="1"/>
  <c r="P68" i="1"/>
  <c r="P67" i="1"/>
  <c r="P70" i="1"/>
  <c r="P71" i="1"/>
  <c r="P72" i="1"/>
  <c r="P62" i="1"/>
  <c r="P55" i="1"/>
  <c r="P7" i="1"/>
  <c r="P11" i="1"/>
  <c r="P10" i="1"/>
  <c r="P9" i="1"/>
  <c r="P8" i="1"/>
  <c r="P12" i="1"/>
  <c r="P6" i="1"/>
  <c r="P15" i="1"/>
  <c r="P19" i="1"/>
  <c r="P18" i="1"/>
  <c r="P17" i="1"/>
  <c r="P16" i="1"/>
  <c r="P20" i="1"/>
  <c r="P14" i="1"/>
  <c r="P25" i="1"/>
  <c r="P32" i="1"/>
  <c r="P74" i="1"/>
  <c r="O63" i="1"/>
  <c r="O64" i="1"/>
  <c r="O65" i="1"/>
  <c r="O66" i="1"/>
  <c r="O67" i="1"/>
  <c r="O69" i="1"/>
  <c r="O68" i="1"/>
  <c r="O70" i="1"/>
  <c r="O71" i="1"/>
  <c r="O72" i="1"/>
  <c r="O62" i="1"/>
  <c r="O55" i="1"/>
  <c r="O7" i="1"/>
  <c r="O8" i="1"/>
  <c r="O9" i="1"/>
  <c r="O10" i="1"/>
  <c r="O11" i="1"/>
  <c r="O12" i="1"/>
  <c r="O6" i="1"/>
  <c r="O15" i="1"/>
  <c r="O16" i="1"/>
  <c r="O17" i="1"/>
  <c r="O18" i="1"/>
  <c r="O19" i="1"/>
  <c r="O20" i="1"/>
  <c r="O14" i="1"/>
  <c r="O25" i="1"/>
  <c r="O32" i="1"/>
  <c r="O74" i="1"/>
  <c r="N7" i="1"/>
  <c r="N6" i="1"/>
  <c r="N63" i="1"/>
  <c r="N64" i="1"/>
  <c r="N65" i="1"/>
  <c r="N66" i="1"/>
  <c r="N67" i="1"/>
  <c r="N69" i="1"/>
  <c r="N68" i="1"/>
  <c r="N70" i="1"/>
  <c r="N71" i="1"/>
  <c r="N72" i="1"/>
  <c r="N62" i="1"/>
  <c r="N55" i="1"/>
  <c r="N15" i="1"/>
  <c r="N18" i="1"/>
  <c r="N17" i="1"/>
  <c r="N16" i="1"/>
  <c r="N19" i="1"/>
  <c r="N20" i="1"/>
  <c r="N14" i="1"/>
  <c r="N25" i="1"/>
  <c r="N32" i="1"/>
  <c r="N74" i="1"/>
  <c r="M63" i="1"/>
  <c r="M64" i="1"/>
  <c r="M65" i="1"/>
  <c r="M66" i="1"/>
  <c r="M67" i="1"/>
  <c r="M69" i="1"/>
  <c r="M68" i="1"/>
  <c r="M70" i="1"/>
  <c r="M71" i="1"/>
  <c r="M72" i="1"/>
  <c r="M62" i="1"/>
  <c r="M55" i="1"/>
  <c r="M7" i="1"/>
  <c r="M8" i="1"/>
  <c r="M9" i="1"/>
  <c r="M10" i="1"/>
  <c r="M11" i="1"/>
  <c r="M12" i="1"/>
  <c r="M6" i="1"/>
  <c r="M15" i="1"/>
  <c r="M16" i="1"/>
  <c r="M17" i="1"/>
  <c r="M18" i="1"/>
  <c r="M19" i="1"/>
  <c r="M20" i="1"/>
  <c r="M14" i="1"/>
  <c r="M25" i="1"/>
  <c r="M32" i="1"/>
  <c r="M74" i="1"/>
  <c r="L63" i="1"/>
  <c r="L64" i="1"/>
  <c r="L65" i="1"/>
  <c r="L66" i="1"/>
  <c r="L67" i="1"/>
  <c r="L69" i="1"/>
  <c r="L68" i="1"/>
  <c r="L70" i="1"/>
  <c r="L71" i="1"/>
  <c r="L72" i="1"/>
  <c r="L62" i="1"/>
  <c r="L55" i="1"/>
  <c r="L7" i="1"/>
  <c r="L8" i="1"/>
  <c r="L9" i="1"/>
  <c r="L10" i="1"/>
  <c r="L11" i="1"/>
  <c r="L12" i="1"/>
  <c r="L6" i="1"/>
  <c r="L15" i="1"/>
  <c r="L16" i="1"/>
  <c r="L17" i="1"/>
  <c r="L18" i="1"/>
  <c r="L19" i="1"/>
  <c r="L20" i="1"/>
  <c r="L14" i="1"/>
  <c r="L25" i="1"/>
  <c r="L32" i="1"/>
  <c r="L74" i="1"/>
  <c r="K63" i="1"/>
  <c r="K64" i="1"/>
  <c r="K65" i="1"/>
  <c r="K66" i="1"/>
  <c r="K67" i="1"/>
  <c r="K69" i="1"/>
  <c r="K68" i="1"/>
  <c r="K70" i="1"/>
  <c r="K71" i="1"/>
  <c r="K72" i="1"/>
  <c r="K62" i="1"/>
  <c r="K55" i="1"/>
  <c r="K7" i="1"/>
  <c r="K8" i="1"/>
  <c r="K9" i="1"/>
  <c r="K10" i="1"/>
  <c r="K11" i="1"/>
  <c r="K12" i="1"/>
  <c r="K6" i="1"/>
  <c r="K15" i="1"/>
  <c r="K16" i="1"/>
  <c r="K17" i="1"/>
  <c r="K18" i="1"/>
  <c r="K19" i="1"/>
  <c r="K20" i="1"/>
  <c r="K14" i="1"/>
  <c r="K25" i="1"/>
  <c r="K32" i="1"/>
  <c r="K74" i="1"/>
  <c r="J7" i="1"/>
  <c r="J6" i="1"/>
  <c r="J63" i="1"/>
  <c r="J64" i="1"/>
  <c r="J65" i="1"/>
  <c r="J66" i="1"/>
  <c r="J67" i="1"/>
  <c r="J69" i="1"/>
  <c r="J68" i="1"/>
  <c r="J70" i="1"/>
  <c r="J71" i="1"/>
  <c r="J72" i="1"/>
  <c r="J62" i="1"/>
  <c r="J55" i="1"/>
  <c r="J15" i="1"/>
  <c r="J16" i="1"/>
  <c r="J17" i="1"/>
  <c r="J18" i="1"/>
  <c r="J19" i="1"/>
  <c r="J20" i="1"/>
  <c r="J14" i="1"/>
  <c r="J25" i="1"/>
  <c r="J32" i="1"/>
  <c r="J74" i="1"/>
  <c r="I63" i="1"/>
  <c r="I64" i="1"/>
  <c r="I65" i="1"/>
  <c r="I66" i="1"/>
  <c r="I67" i="1"/>
  <c r="I69" i="1"/>
  <c r="I68" i="1"/>
  <c r="I70" i="1"/>
  <c r="I71" i="1"/>
  <c r="I72" i="1"/>
  <c r="I62" i="1"/>
  <c r="I55" i="1"/>
  <c r="I7" i="1"/>
  <c r="I8" i="1"/>
  <c r="I9" i="1"/>
  <c r="I10" i="1"/>
  <c r="I11" i="1"/>
  <c r="I12" i="1"/>
  <c r="I6" i="1"/>
  <c r="I15" i="1"/>
  <c r="I16" i="1"/>
  <c r="I17" i="1"/>
  <c r="I18" i="1"/>
  <c r="I19" i="1"/>
  <c r="I20" i="1"/>
  <c r="I14" i="1"/>
  <c r="I25" i="1"/>
  <c r="I32" i="1"/>
  <c r="I74" i="1"/>
  <c r="H63" i="1"/>
  <c r="H64" i="1"/>
  <c r="H65" i="1"/>
  <c r="H66" i="1"/>
  <c r="H67" i="1"/>
  <c r="H69" i="1"/>
  <c r="H68" i="1"/>
  <c r="H70" i="1"/>
  <c r="H71" i="1"/>
  <c r="H72" i="1"/>
  <c r="H62" i="1"/>
  <c r="H55" i="1"/>
  <c r="H7" i="1"/>
  <c r="H8" i="1"/>
  <c r="H9" i="1"/>
  <c r="H10" i="1"/>
  <c r="H11" i="1"/>
  <c r="H12" i="1"/>
  <c r="H6" i="1"/>
  <c r="H15" i="1"/>
  <c r="H16" i="1"/>
  <c r="H17" i="1"/>
  <c r="H18" i="1"/>
  <c r="H19" i="1"/>
  <c r="H20" i="1"/>
  <c r="H14" i="1"/>
  <c r="H25" i="1"/>
  <c r="H32" i="1"/>
  <c r="H74" i="1"/>
  <c r="G63" i="1"/>
  <c r="G64" i="1"/>
  <c r="G65" i="1"/>
  <c r="G66" i="1"/>
  <c r="G67" i="1"/>
  <c r="G69" i="1"/>
  <c r="G68" i="1"/>
  <c r="G70" i="1"/>
  <c r="G71" i="1"/>
  <c r="G72" i="1"/>
  <c r="G62" i="1"/>
  <c r="G55" i="1"/>
  <c r="G7" i="1"/>
  <c r="G10" i="1"/>
  <c r="G11" i="1"/>
  <c r="G9" i="1"/>
  <c r="G8" i="1"/>
  <c r="G12" i="1"/>
  <c r="G6" i="1"/>
  <c r="G15" i="1"/>
  <c r="G18" i="1"/>
  <c r="G19" i="1"/>
  <c r="G17" i="1"/>
  <c r="G16" i="1"/>
  <c r="G20" i="1"/>
  <c r="G14" i="1"/>
  <c r="G25" i="1"/>
  <c r="G32" i="1"/>
  <c r="G74" i="1"/>
  <c r="F63" i="1"/>
  <c r="F64" i="1"/>
  <c r="F65" i="1"/>
  <c r="F66" i="1"/>
  <c r="F67" i="1"/>
  <c r="F69" i="1"/>
  <c r="F68" i="1"/>
  <c r="F70" i="1"/>
  <c r="F71" i="1"/>
  <c r="F72" i="1"/>
  <c r="F62" i="1"/>
  <c r="F55" i="1"/>
  <c r="F7" i="1"/>
  <c r="F8" i="1"/>
  <c r="F9" i="1"/>
  <c r="F10" i="1"/>
  <c r="F11" i="1"/>
  <c r="F12" i="1"/>
  <c r="F6" i="1"/>
  <c r="F15" i="1"/>
  <c r="F16" i="1"/>
  <c r="F17" i="1"/>
  <c r="F18" i="1"/>
  <c r="F19" i="1"/>
  <c r="F20" i="1"/>
  <c r="F14" i="1"/>
  <c r="F25" i="1"/>
  <c r="F32" i="1"/>
  <c r="F74" i="1"/>
  <c r="B42" i="2"/>
  <c r="B20" i="1"/>
  <c r="B40" i="2"/>
  <c r="B19" i="1"/>
  <c r="B38" i="2"/>
  <c r="B18" i="1"/>
  <c r="B36" i="2"/>
  <c r="B17" i="1"/>
  <c r="U46" i="1"/>
  <c r="U47" i="1"/>
  <c r="T46" i="1"/>
  <c r="T47" i="1"/>
  <c r="S46" i="1"/>
  <c r="S47" i="1"/>
  <c r="F78" i="1"/>
  <c r="F77" i="1"/>
  <c r="F79" i="1"/>
  <c r="F81" i="1"/>
  <c r="E78" i="1"/>
  <c r="E77" i="1"/>
  <c r="E79" i="1"/>
  <c r="E81" i="1"/>
  <c r="E82" i="1"/>
  <c r="F82" i="1"/>
  <c r="G78" i="1"/>
  <c r="G77" i="1"/>
  <c r="G79" i="1"/>
  <c r="G81" i="1"/>
  <c r="G82" i="1"/>
  <c r="H78" i="1"/>
  <c r="H77" i="1"/>
  <c r="H79" i="1"/>
  <c r="H81" i="1"/>
  <c r="H82" i="1"/>
  <c r="I78" i="1"/>
  <c r="I77" i="1"/>
  <c r="I79" i="1"/>
  <c r="I81" i="1"/>
  <c r="I82" i="1"/>
  <c r="J78" i="1"/>
  <c r="J77" i="1"/>
  <c r="J79" i="1"/>
  <c r="J81" i="1"/>
  <c r="J82" i="1"/>
  <c r="K78" i="1"/>
  <c r="K77" i="1"/>
  <c r="K79" i="1"/>
  <c r="K81" i="1"/>
  <c r="K82" i="1"/>
  <c r="L78" i="1"/>
  <c r="L77" i="1"/>
  <c r="L79" i="1"/>
  <c r="L81" i="1"/>
  <c r="L82" i="1"/>
  <c r="M78" i="1"/>
  <c r="M77" i="1"/>
  <c r="M79" i="1"/>
  <c r="M81" i="1"/>
  <c r="M82" i="1"/>
  <c r="N78" i="1"/>
  <c r="N77" i="1"/>
  <c r="N79" i="1"/>
  <c r="N81" i="1"/>
  <c r="N82" i="1"/>
  <c r="O78" i="1"/>
  <c r="O77" i="1"/>
  <c r="O79" i="1"/>
  <c r="O81" i="1"/>
  <c r="O82" i="1"/>
  <c r="P78" i="1"/>
  <c r="P77" i="1"/>
  <c r="P79" i="1"/>
  <c r="P81" i="1"/>
  <c r="P82" i="1"/>
  <c r="Q78" i="1"/>
  <c r="Q77" i="1"/>
  <c r="Q79" i="1"/>
  <c r="Q81" i="1"/>
  <c r="Q82" i="1"/>
  <c r="M32" i="4"/>
  <c r="C22" i="3"/>
  <c r="C23" i="3"/>
  <c r="C24" i="3"/>
  <c r="C25" i="3"/>
  <c r="C26" i="3"/>
  <c r="C27" i="3"/>
  <c r="C28" i="3"/>
  <c r="F84" i="1"/>
  <c r="G84" i="1"/>
  <c r="H84" i="1"/>
  <c r="I84" i="1"/>
  <c r="J84" i="1"/>
  <c r="K84" i="1"/>
  <c r="L84" i="1"/>
  <c r="M84" i="1"/>
  <c r="N84" i="1"/>
  <c r="O84" i="1"/>
  <c r="P84" i="1"/>
  <c r="Q84" i="1"/>
  <c r="D49" i="4"/>
  <c r="M42" i="4"/>
  <c r="F85" i="1"/>
  <c r="G85" i="1"/>
  <c r="H85" i="1"/>
  <c r="I85" i="1"/>
  <c r="J85" i="1"/>
  <c r="K85" i="1"/>
  <c r="L85" i="1"/>
  <c r="M85" i="1"/>
  <c r="N85" i="1"/>
  <c r="O85" i="1"/>
  <c r="P85" i="1"/>
  <c r="Q85" i="1"/>
  <c r="D50" i="4"/>
  <c r="M40" i="4"/>
  <c r="F75" i="1"/>
  <c r="G75" i="1"/>
  <c r="H75" i="1"/>
  <c r="I75" i="1"/>
  <c r="S75" i="1"/>
  <c r="J75" i="1"/>
  <c r="K75" i="1"/>
  <c r="L75" i="1"/>
  <c r="M75" i="1"/>
  <c r="T75" i="1"/>
  <c r="N75" i="1"/>
  <c r="O75" i="1"/>
  <c r="P75" i="1"/>
  <c r="Q75" i="1"/>
  <c r="U75" i="1"/>
  <c r="M38" i="4"/>
  <c r="F22" i="1"/>
  <c r="F23" i="1"/>
  <c r="G22" i="1"/>
  <c r="G23" i="1"/>
  <c r="H22" i="1"/>
  <c r="H23" i="1"/>
  <c r="I22" i="1"/>
  <c r="I23" i="1"/>
  <c r="S23" i="1"/>
  <c r="J22" i="1"/>
  <c r="J23" i="1"/>
  <c r="K22" i="1"/>
  <c r="K23" i="1"/>
  <c r="L22" i="1"/>
  <c r="L23" i="1"/>
  <c r="M22" i="1"/>
  <c r="M23" i="1"/>
  <c r="T23" i="1"/>
  <c r="N22" i="1"/>
  <c r="N23" i="1"/>
  <c r="O22" i="1"/>
  <c r="O23" i="1"/>
  <c r="P22" i="1"/>
  <c r="P23" i="1"/>
  <c r="Q22" i="1"/>
  <c r="Q23" i="1"/>
  <c r="U23" i="1"/>
  <c r="M36" i="4"/>
  <c r="D38" i="4"/>
  <c r="D40" i="4"/>
  <c r="M34" i="4"/>
  <c r="E29" i="3"/>
  <c r="F29" i="3"/>
  <c r="G29" i="3"/>
  <c r="H29" i="3"/>
  <c r="I29" i="3"/>
  <c r="J29" i="3"/>
  <c r="K29" i="3"/>
  <c r="L29" i="3"/>
  <c r="M29" i="3"/>
  <c r="N29" i="3"/>
  <c r="O29" i="3"/>
  <c r="D45" i="4"/>
  <c r="U16" i="1"/>
  <c r="U17" i="1"/>
  <c r="U18" i="1"/>
  <c r="U19" i="1"/>
  <c r="U20" i="1"/>
  <c r="T16" i="1"/>
  <c r="T17" i="1"/>
  <c r="T18" i="1"/>
  <c r="T19" i="1"/>
  <c r="T20" i="1"/>
  <c r="S16" i="1"/>
  <c r="S17" i="1"/>
  <c r="S18" i="1"/>
  <c r="S19" i="1"/>
  <c r="S20" i="1"/>
  <c r="U64" i="1"/>
  <c r="U65" i="1"/>
  <c r="U66" i="1"/>
  <c r="U67" i="1"/>
  <c r="U68" i="1"/>
  <c r="U69" i="1"/>
  <c r="U70" i="1"/>
  <c r="U71" i="1"/>
  <c r="U72" i="1"/>
  <c r="T64" i="1"/>
  <c r="T65" i="1"/>
  <c r="T66" i="1"/>
  <c r="T67" i="1"/>
  <c r="T68" i="1"/>
  <c r="T69" i="1"/>
  <c r="T70" i="1"/>
  <c r="T71" i="1"/>
  <c r="T72" i="1"/>
  <c r="S64" i="1"/>
  <c r="S65" i="1"/>
  <c r="S66" i="1"/>
  <c r="S67" i="1"/>
  <c r="S68" i="1"/>
  <c r="S69" i="1"/>
  <c r="S70" i="1"/>
  <c r="S71" i="1"/>
  <c r="S72" i="1"/>
  <c r="B64" i="1"/>
  <c r="B65" i="1"/>
  <c r="B66" i="1"/>
  <c r="B67" i="1"/>
  <c r="B68" i="1"/>
  <c r="B69" i="1"/>
  <c r="B70" i="1"/>
  <c r="B71" i="1"/>
  <c r="B72" i="1"/>
  <c r="B63" i="1"/>
  <c r="D29" i="3"/>
  <c r="B57" i="1"/>
  <c r="B58" i="1"/>
  <c r="B59" i="1"/>
  <c r="B60" i="1"/>
  <c r="B56" i="1"/>
  <c r="S49" i="1"/>
  <c r="S51" i="1"/>
  <c r="S52" i="1"/>
  <c r="S53" i="1"/>
  <c r="S50" i="1"/>
  <c r="T49" i="1"/>
  <c r="U49" i="1"/>
  <c r="B51" i="1"/>
  <c r="B52" i="1"/>
  <c r="B53" i="1"/>
  <c r="B50" i="1"/>
  <c r="U53" i="1"/>
  <c r="T53" i="1"/>
  <c r="U52" i="1"/>
  <c r="T52" i="1"/>
  <c r="U51" i="1"/>
  <c r="T51" i="1"/>
  <c r="U50" i="1"/>
  <c r="T50" i="1"/>
  <c r="B47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33" i="1"/>
  <c r="U63" i="1"/>
  <c r="T63" i="1"/>
  <c r="S63" i="1"/>
  <c r="U62" i="1"/>
  <c r="T62" i="1"/>
  <c r="S62" i="1"/>
  <c r="B27" i="1"/>
  <c r="B28" i="1"/>
  <c r="B29" i="1"/>
  <c r="B30" i="1"/>
  <c r="B26" i="1"/>
  <c r="B34" i="2"/>
  <c r="B16" i="1"/>
  <c r="B32" i="2"/>
  <c r="B15" i="1"/>
  <c r="B8" i="1"/>
  <c r="B9" i="1"/>
  <c r="B10" i="1"/>
  <c r="B11" i="1"/>
  <c r="B12" i="1"/>
  <c r="B7" i="1"/>
  <c r="B27" i="2"/>
  <c r="B25" i="2"/>
  <c r="B23" i="2"/>
  <c r="B21" i="2"/>
  <c r="B19" i="2"/>
  <c r="B17" i="2"/>
  <c r="D44" i="4"/>
  <c r="T11" i="1"/>
  <c r="U8" i="1"/>
  <c r="S12" i="1"/>
  <c r="T12" i="1"/>
  <c r="U12" i="1"/>
  <c r="B20" i="3"/>
  <c r="C20" i="3"/>
  <c r="B21" i="3"/>
  <c r="C21" i="3"/>
  <c r="B22" i="3"/>
  <c r="B23" i="3"/>
  <c r="B24" i="3"/>
  <c r="B25" i="3"/>
  <c r="B26" i="3"/>
  <c r="C19" i="3"/>
  <c r="B19" i="3"/>
  <c r="B28" i="3"/>
  <c r="B27" i="3"/>
  <c r="U10" i="1"/>
  <c r="S10" i="1"/>
  <c r="S8" i="1"/>
  <c r="T9" i="1"/>
  <c r="T8" i="1"/>
  <c r="U9" i="1"/>
  <c r="S9" i="1"/>
  <c r="T10" i="1"/>
  <c r="U11" i="1"/>
  <c r="S11" i="1"/>
  <c r="S34" i="1"/>
  <c r="U34" i="1"/>
  <c r="T35" i="1"/>
  <c r="S36" i="1"/>
  <c r="U36" i="1"/>
  <c r="T37" i="1"/>
  <c r="S38" i="1"/>
  <c r="T39" i="1"/>
  <c r="S40" i="1"/>
  <c r="U40" i="1"/>
  <c r="T41" i="1"/>
  <c r="S45" i="1"/>
  <c r="U45" i="1"/>
  <c r="T43" i="1"/>
  <c r="S42" i="1"/>
  <c r="U42" i="1"/>
  <c r="T44" i="1"/>
  <c r="T34" i="1"/>
  <c r="S35" i="1"/>
  <c r="U35" i="1"/>
  <c r="T36" i="1"/>
  <c r="S37" i="1"/>
  <c r="U37" i="1"/>
  <c r="S39" i="1"/>
  <c r="U39" i="1"/>
  <c r="T40" i="1"/>
  <c r="S41" i="1"/>
  <c r="U41" i="1"/>
  <c r="T45" i="1"/>
  <c r="S43" i="1"/>
  <c r="U43" i="1"/>
  <c r="T42" i="1"/>
  <c r="S44" i="1"/>
  <c r="U44" i="1"/>
  <c r="S28" i="1"/>
  <c r="U28" i="1"/>
  <c r="T29" i="1"/>
  <c r="S30" i="1"/>
  <c r="U30" i="1"/>
  <c r="T28" i="1"/>
  <c r="S29" i="1"/>
  <c r="U29" i="1"/>
  <c r="T30" i="1"/>
  <c r="T57" i="1"/>
  <c r="S58" i="1"/>
  <c r="U58" i="1"/>
  <c r="T59" i="1"/>
  <c r="S60" i="1"/>
  <c r="U60" i="1"/>
  <c r="S57" i="1"/>
  <c r="U57" i="1"/>
  <c r="T58" i="1"/>
  <c r="S59" i="1"/>
  <c r="U59" i="1"/>
  <c r="T60" i="1"/>
  <c r="S56" i="1"/>
  <c r="S27" i="1"/>
  <c r="S33" i="1"/>
  <c r="U33" i="1"/>
  <c r="T33" i="1"/>
  <c r="S6" i="1"/>
  <c r="S7" i="1"/>
  <c r="T38" i="1"/>
  <c r="S55" i="1"/>
  <c r="S78" i="1"/>
  <c r="S32" i="1"/>
  <c r="U38" i="1"/>
  <c r="S15" i="1"/>
  <c r="S14" i="1"/>
  <c r="S26" i="1"/>
  <c r="E85" i="1"/>
  <c r="E84" i="1"/>
  <c r="S25" i="1"/>
  <c r="S22" i="1"/>
  <c r="T56" i="1"/>
  <c r="T27" i="1"/>
  <c r="T7" i="1"/>
  <c r="S79" i="1"/>
  <c r="S74" i="1"/>
  <c r="T55" i="1"/>
  <c r="T32" i="1"/>
  <c r="T78" i="1"/>
  <c r="T6" i="1"/>
  <c r="T15" i="1"/>
  <c r="T26" i="1"/>
  <c r="T14" i="1"/>
  <c r="U7" i="1"/>
  <c r="T25" i="1"/>
  <c r="T22" i="1"/>
  <c r="U27" i="1"/>
  <c r="U6" i="1"/>
  <c r="U55" i="1"/>
  <c r="T79" i="1"/>
  <c r="T74" i="1"/>
  <c r="U56" i="1"/>
  <c r="U78" i="1"/>
  <c r="U14" i="1"/>
  <c r="U15" i="1"/>
  <c r="U32" i="1"/>
  <c r="U26" i="1"/>
  <c r="U25" i="1"/>
  <c r="U79" i="1"/>
  <c r="U74" i="1"/>
  <c r="U22" i="1"/>
  <c r="T77" i="1"/>
  <c r="U77" i="1"/>
  <c r="S77" i="1"/>
  <c r="F33" i="4"/>
  <c r="U81" i="1"/>
  <c r="T81" i="1"/>
  <c r="S81" i="1"/>
  <c r="S82" i="1"/>
  <c r="T82" i="1"/>
  <c r="U82" i="1"/>
</calcChain>
</file>

<file path=xl/sharedStrings.xml><?xml version="1.0" encoding="utf-8"?>
<sst xmlns="http://schemas.openxmlformats.org/spreadsheetml/2006/main" count="173" uniqueCount="117">
  <si>
    <t>Aluguel + IPTU</t>
  </si>
  <si>
    <t>1st Year</t>
  </si>
  <si>
    <t>2nd Year</t>
  </si>
  <si>
    <t>3rd Year</t>
  </si>
  <si>
    <t>CLT</t>
  </si>
  <si>
    <t>Q1</t>
  </si>
  <si>
    <t>Q2</t>
  </si>
  <si>
    <t>Q3</t>
  </si>
  <si>
    <t>Q4</t>
  </si>
  <si>
    <t>Sócio</t>
  </si>
  <si>
    <t>PJ</t>
  </si>
  <si>
    <t>Estágio</t>
  </si>
  <si>
    <t>Contratação</t>
  </si>
  <si>
    <t>Margem EBIT</t>
  </si>
  <si>
    <t>Breakeven</t>
  </si>
  <si>
    <t>Payback</t>
  </si>
  <si>
    <t>Margem Operacional</t>
  </si>
  <si>
    <t>x 100  =</t>
  </si>
  <si>
    <t>WACC ano</t>
  </si>
  <si>
    <t xml:space="preserve">VPL = </t>
  </si>
  <si>
    <t>IRR (aa) =</t>
  </si>
  <si>
    <t>Breakeven =</t>
  </si>
  <si>
    <t>Payback =</t>
  </si>
  <si>
    <t>Resultado Final (média 3 anos)</t>
  </si>
  <si>
    <t>Receita Total (média 3 anos)</t>
  </si>
  <si>
    <t>Lucratividade (%) =</t>
  </si>
  <si>
    <t>INDICADORES</t>
  </si>
  <si>
    <t>Necessidade de Capital</t>
  </si>
  <si>
    <t>VPL</t>
  </si>
  <si>
    <t>Margem Líquida</t>
  </si>
  <si>
    <t>Payback (mês)</t>
  </si>
  <si>
    <t>Breakeven (mês)</t>
  </si>
  <si>
    <t>Mensais</t>
  </si>
  <si>
    <t>Lifetime</t>
  </si>
  <si>
    <t>Ano1</t>
  </si>
  <si>
    <t>Ano2</t>
  </si>
  <si>
    <t>Ano3</t>
  </si>
  <si>
    <t>PREVISÃO</t>
  </si>
  <si>
    <t>WACC quarter</t>
  </si>
  <si>
    <t>IRR (aq) =</t>
  </si>
  <si>
    <t>A lucratividade é o percentual que representa o lucro líquido em relação ao faturamento.</t>
  </si>
  <si>
    <t>PROJEÇÃO DE VENDAS</t>
  </si>
  <si>
    <t>1. PREMISSAS (PAINEL DE CONTROLE)</t>
  </si>
  <si>
    <t xml:space="preserve"> 1. Receita Bruta por Produto</t>
  </si>
  <si>
    <t xml:space="preserve"> 2. Custos Variáveis por Produto</t>
  </si>
  <si>
    <t>Agência de Comunicação</t>
  </si>
  <si>
    <t>Jurídico</t>
  </si>
  <si>
    <t>Contabilidade</t>
  </si>
  <si>
    <t>Conservação e Limpeza</t>
  </si>
  <si>
    <t>Outros (8% contigência)</t>
  </si>
  <si>
    <t>Investimento Inicial - Reformas</t>
  </si>
  <si>
    <t>Investimento Inicial - Máquinas / Equip.</t>
  </si>
  <si>
    <t>Investimento Inicial - Mobília</t>
  </si>
  <si>
    <t>Investimento Inicial - Outros</t>
  </si>
  <si>
    <t>Energia</t>
  </si>
  <si>
    <t>Telefone</t>
  </si>
  <si>
    <t>Internet</t>
  </si>
  <si>
    <t>Água</t>
  </si>
  <si>
    <t>Condomínio</t>
  </si>
  <si>
    <t>Transporte</t>
  </si>
  <si>
    <t>Documentação</t>
  </si>
  <si>
    <t>Servidores</t>
  </si>
  <si>
    <t>Segurança</t>
  </si>
  <si>
    <t>Materiais de Escritório</t>
  </si>
  <si>
    <t>Materiais de Limpeza</t>
  </si>
  <si>
    <t>Cartório e Correios</t>
  </si>
  <si>
    <t>Sistemas de Informação</t>
  </si>
  <si>
    <t xml:space="preserve"> Resultado Operacional</t>
  </si>
  <si>
    <t xml:space="preserve"> 3. Despesas de Serviços</t>
  </si>
  <si>
    <t>4. Despesas de Infraestrutura</t>
  </si>
  <si>
    <t>3. DESPESAS de SERVIÇOS</t>
  </si>
  <si>
    <t>4. DESPESAS de INFRAESTRUTURA</t>
  </si>
  <si>
    <t>5. INVESTIMENTO INICIAL</t>
  </si>
  <si>
    <t>7. CUSTO DE MÃO-DE-OBRA</t>
  </si>
  <si>
    <t>Cargo</t>
  </si>
  <si>
    <t>Resultado Bruto</t>
  </si>
  <si>
    <t xml:space="preserve"> Resultado Líquido</t>
  </si>
  <si>
    <t>Lucro Líquido</t>
  </si>
  <si>
    <t>5. Investimento Inicial</t>
  </si>
  <si>
    <t>6. Investimentos Recorrentes</t>
  </si>
  <si>
    <t>6. INVESTIMENTOS RECORRENTES</t>
  </si>
  <si>
    <t>Marketing Online</t>
  </si>
  <si>
    <t>Marketing Offline</t>
  </si>
  <si>
    <t>Treinamento / Capacitação</t>
  </si>
  <si>
    <t>Impostos (SIMPLES)</t>
  </si>
  <si>
    <t>Distribuição Dividendos</t>
  </si>
  <si>
    <t>Fluxo Acumulado</t>
  </si>
  <si>
    <t>ENCARGOS</t>
  </si>
  <si>
    <t>Total</t>
  </si>
  <si>
    <t>Reajuste Anual</t>
  </si>
  <si>
    <t>Aumento Anual</t>
  </si>
  <si>
    <t>Salário Base</t>
  </si>
  <si>
    <t>Desembolso</t>
  </si>
  <si>
    <t>7. RH (Valores com reajuste anual)</t>
  </si>
  <si>
    <t>Tempo 0</t>
  </si>
  <si>
    <t>DESCONTOS</t>
  </si>
  <si>
    <t>3. DETALHAMENTO FINANCEIRO</t>
  </si>
  <si>
    <t>VIABILIDADE</t>
  </si>
  <si>
    <t>Fluxo de Caixa Acumulado</t>
  </si>
  <si>
    <t xml:space="preserve"> Lucratividade</t>
  </si>
  <si>
    <t>Valor presente líquido (3anos) - fluxo de caixa</t>
  </si>
  <si>
    <t>TIR (IRR)</t>
  </si>
  <si>
    <t>Retorno</t>
  </si>
  <si>
    <t>QUANTIDADE VENDIDA POR TRIMESTRE</t>
  </si>
  <si>
    <t>1. PREÇO FINAL DOS PRODUTOS ou SERVIÇOS</t>
  </si>
  <si>
    <t>2. CUSTOS VARIÁVEIS (CUSTOS DE PRODUÇÃO)</t>
  </si>
  <si>
    <t>Novos Produtos</t>
  </si>
  <si>
    <t>Plano Free (conversões)</t>
  </si>
  <si>
    <t>Plano Pro Mensal</t>
  </si>
  <si>
    <t>Plano Pro Anual</t>
  </si>
  <si>
    <t>Parcerias / B2B</t>
  </si>
  <si>
    <t>Designer UX/UI</t>
  </si>
  <si>
    <t>CEO / Estratégia</t>
  </si>
  <si>
    <t>CTO / Arquitetura</t>
  </si>
  <si>
    <t>Dev Full-Stack</t>
  </si>
  <si>
    <t>Marketing &amp; Growth</t>
  </si>
  <si>
    <t>Produto &amp; Operações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</si>
</sst>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0.0%"/>
    <numFmt numFmtId="166" formatCode="#,##0.00\ ;[Red]\-#,##0.00\ "/>
    <numFmt numFmtId="167" formatCode="#,##0;[Red]#,##0"/>
    <numFmt numFmtId="168" formatCode="General_)"/>
    <numFmt numFmtId="169" formatCode="#,##0.00_ ;\-#,##0.00\ "/>
    <numFmt numFmtId="170" formatCode="&quot;R$ &quot;#,##0.00;[Red]&quot;R$ &quot;#,##0.00"/>
    <numFmt numFmtId="171" formatCode="&quot;R$ &quot;#,##0;[Red]&quot;R$ &quot;#,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0"/>
      <name val="Courier"/>
      <family val="3"/>
    </font>
    <font>
      <u/>
      <sz val="11"/>
      <color theme="11"/>
      <name val="Calibri"/>
      <family val="2"/>
      <scheme val="minor"/>
    </font>
    <font>
      <sz val="10"/>
      <color theme="1"/>
      <name val="Trebuchet MS"/>
    </font>
    <font>
      <b/>
      <sz val="10"/>
      <color theme="0"/>
      <name val="Trebuchet MS"/>
    </font>
    <font>
      <b/>
      <i/>
      <sz val="10"/>
      <color theme="1"/>
      <name val="Trebuchet MS"/>
    </font>
    <font>
      <b/>
      <sz val="10"/>
      <name val="Trebuchet MS"/>
    </font>
    <font>
      <i/>
      <sz val="10"/>
      <name val="Trebuchet MS"/>
    </font>
    <font>
      <b/>
      <sz val="10"/>
      <color theme="1"/>
      <name val="Trebuchet MS"/>
    </font>
    <font>
      <b/>
      <sz val="10"/>
      <color indexed="9"/>
      <name val="Trebuchet MS"/>
    </font>
    <font>
      <sz val="10"/>
      <name val="Trebuchet MS"/>
    </font>
    <font>
      <b/>
      <sz val="12"/>
      <name val="Trebuchet MS"/>
    </font>
    <font>
      <b/>
      <sz val="18"/>
      <name val="Trebuchet MS"/>
    </font>
    <font>
      <b/>
      <sz val="14"/>
      <color theme="0"/>
      <name val="Trebuchet MS"/>
    </font>
    <font>
      <b/>
      <sz val="18"/>
      <color theme="0"/>
      <name val="Trebuchet MS"/>
    </font>
    <font>
      <sz val="10"/>
      <color indexed="8"/>
      <name val="Trebuchet MS"/>
    </font>
    <font>
      <b/>
      <i/>
      <sz val="10"/>
      <color theme="0"/>
      <name val="Trebuchet MS"/>
    </font>
    <font>
      <u/>
      <sz val="10"/>
      <color theme="10"/>
      <name val="Trebuchet MS"/>
    </font>
    <font>
      <sz val="10"/>
      <color indexed="9"/>
      <name val="Trebuchet MS"/>
    </font>
    <font>
      <b/>
      <sz val="12"/>
      <color indexed="9"/>
      <name val="Trebuchet MS"/>
    </font>
    <font>
      <b/>
      <sz val="14"/>
      <color indexed="9"/>
      <name val="Trebuchet MS"/>
    </font>
    <font>
      <b/>
      <sz val="14"/>
      <color theme="1"/>
      <name val="Trebuchet MS"/>
    </font>
    <font>
      <sz val="12"/>
      <name val="Trebuchet MS"/>
    </font>
    <font>
      <sz val="12"/>
      <color indexed="9"/>
      <name val="Trebuchet MS"/>
    </font>
    <font>
      <b/>
      <sz val="12"/>
      <color theme="1"/>
      <name val="Trebuchet MS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EDB11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8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74">
    <xf numFmtId="0" fontId="0" fillId="0" borderId="0" xfId="0"/>
    <xf numFmtId="41" fontId="11" fillId="3" borderId="0" xfId="0" applyNumberFormat="1" applyFont="1" applyFill="1" applyAlignment="1">
      <alignment horizontal="center" vertical="center"/>
    </xf>
    <xf numFmtId="41" fontId="12" fillId="9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9" fillId="0" borderId="0" xfId="4" applyFont="1" applyAlignment="1">
      <alignment horizontal="left" indent="1"/>
    </xf>
    <xf numFmtId="0" fontId="7" fillId="0" borderId="0" xfId="0" applyFont="1" applyAlignment="1">
      <alignment vertical="center"/>
    </xf>
    <xf numFmtId="9" fontId="7" fillId="0" borderId="0" xfId="0" applyNumberFormat="1" applyFont="1" applyAlignment="1">
      <alignment horizontal="left"/>
    </xf>
    <xf numFmtId="0" fontId="7" fillId="9" borderId="0" xfId="4" applyFont="1" applyFill="1" applyAlignment="1" applyProtection="1">
      <alignment horizontal="left" indent="1"/>
      <protection locked="0"/>
    </xf>
    <xf numFmtId="0" fontId="7" fillId="9" borderId="0" xfId="0" applyFont="1" applyFill="1" applyProtection="1">
      <protection locked="0"/>
    </xf>
    <xf numFmtId="0" fontId="8" fillId="23" borderId="0" xfId="0" applyFont="1" applyFill="1" applyAlignment="1">
      <alignment horizontal="center" vertical="center"/>
    </xf>
    <xf numFmtId="0" fontId="8" fillId="23" borderId="0" xfId="0" applyFont="1" applyFill="1" applyAlignment="1">
      <alignment vertical="center"/>
    </xf>
    <xf numFmtId="0" fontId="7" fillId="3" borderId="0" xfId="0" applyFont="1" applyFill="1"/>
    <xf numFmtId="0" fontId="19" fillId="3" borderId="0" xfId="4" applyFont="1" applyFill="1" applyAlignment="1">
      <alignment horizontal="left" indent="1"/>
    </xf>
    <xf numFmtId="0" fontId="12" fillId="3" borderId="0" xfId="0" applyFont="1" applyFill="1" applyAlignment="1">
      <alignment horizontal="right"/>
    </xf>
    <xf numFmtId="0" fontId="12" fillId="3" borderId="0" xfId="0" applyFont="1" applyFill="1"/>
    <xf numFmtId="0" fontId="7" fillId="3" borderId="0" xfId="0" applyFont="1" applyFill="1" applyAlignment="1">
      <alignment horizontal="right"/>
    </xf>
    <xf numFmtId="0" fontId="7" fillId="3" borderId="0" xfId="0" applyFont="1" applyFill="1" applyAlignment="1">
      <alignment horizontal="center"/>
    </xf>
    <xf numFmtId="0" fontId="7" fillId="22" borderId="0" xfId="0" applyFont="1" applyFill="1"/>
    <xf numFmtId="0" fontId="8" fillId="0" borderId="0" xfId="0" applyFont="1" applyAlignment="1">
      <alignment horizontal="left" vertical="center" wrapText="1"/>
    </xf>
    <xf numFmtId="0" fontId="14" fillId="2" borderId="0" xfId="7" applyFont="1" applyFill="1" applyBorder="1" applyAlignment="1" applyProtection="1">
      <alignment vertical="top"/>
    </xf>
    <xf numFmtId="0" fontId="1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9" fontId="14" fillId="0" borderId="0" xfId="3" applyFont="1" applyBorder="1" applyAlignment="1" applyProtection="1">
      <alignment vertical="center"/>
    </xf>
    <xf numFmtId="166" fontId="14" fillId="2" borderId="0" xfId="0" applyNumberFormat="1" applyFont="1" applyFill="1" applyAlignment="1">
      <alignment vertical="center"/>
    </xf>
    <xf numFmtId="167" fontId="10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43" fontId="14" fillId="2" borderId="0" xfId="1" applyFont="1" applyFill="1" applyBorder="1" applyAlignment="1" applyProtection="1">
      <alignment vertical="center"/>
    </xf>
    <xf numFmtId="0" fontId="14" fillId="2" borderId="0" xfId="0" applyFont="1" applyFill="1" applyAlignment="1">
      <alignment horizontal="right" vertical="center"/>
    </xf>
    <xf numFmtId="167" fontId="14" fillId="2" borderId="0" xfId="0" applyNumberFormat="1" applyFont="1" applyFill="1" applyAlignment="1">
      <alignment vertical="center"/>
    </xf>
    <xf numFmtId="44" fontId="14" fillId="2" borderId="0" xfId="2" applyFont="1" applyFill="1" applyBorder="1" applyAlignment="1" applyProtection="1">
      <alignment vertical="center"/>
    </xf>
    <xf numFmtId="9" fontId="14" fillId="2" borderId="0" xfId="3" applyFont="1" applyFill="1" applyBorder="1" applyAlignment="1" applyProtection="1">
      <alignment vertical="center"/>
    </xf>
    <xf numFmtId="0" fontId="21" fillId="2" borderId="0" xfId="7" applyFont="1" applyFill="1" applyBorder="1" applyAlignment="1" applyProtection="1">
      <alignment horizontal="right" vertical="center"/>
    </xf>
    <xf numFmtId="43" fontId="21" fillId="2" borderId="0" xfId="7" applyNumberFormat="1" applyFont="1" applyFill="1" applyBorder="1" applyAlignment="1" applyProtection="1">
      <alignment horizontal="center" vertical="center"/>
    </xf>
    <xf numFmtId="0" fontId="21" fillId="2" borderId="0" xfId="7" applyFont="1" applyFill="1" applyBorder="1" applyAlignment="1" applyProtection="1">
      <alignment vertical="center"/>
    </xf>
    <xf numFmtId="166" fontId="10" fillId="2" borderId="0" xfId="8" applyNumberFormat="1" applyFont="1" applyFill="1" applyAlignment="1">
      <alignment horizontal="center" vertical="center"/>
    </xf>
    <xf numFmtId="165" fontId="10" fillId="2" borderId="0" xfId="9" applyNumberFormat="1" applyFont="1" applyFill="1" applyBorder="1" applyAlignment="1" applyProtection="1">
      <alignment horizontal="center" vertical="center"/>
    </xf>
    <xf numFmtId="166" fontId="14" fillId="2" borderId="0" xfId="8" applyNumberFormat="1" applyFont="1" applyFill="1" applyAlignment="1">
      <alignment horizontal="left" vertical="center"/>
    </xf>
    <xf numFmtId="165" fontId="14" fillId="2" borderId="0" xfId="3" applyNumberFormat="1" applyFont="1" applyFill="1" applyBorder="1" applyAlignment="1" applyProtection="1">
      <alignment vertical="center"/>
    </xf>
    <xf numFmtId="166" fontId="10" fillId="2" borderId="0" xfId="8" applyNumberFormat="1" applyFont="1" applyFill="1" applyAlignment="1">
      <alignment vertical="center"/>
    </xf>
    <xf numFmtId="37" fontId="14" fillId="2" borderId="0" xfId="8" applyNumberFormat="1" applyFont="1" applyFill="1" applyAlignment="1">
      <alignment vertical="center"/>
    </xf>
    <xf numFmtId="166" fontId="11" fillId="2" borderId="0" xfId="8" applyNumberFormat="1" applyFont="1" applyFill="1" applyAlignment="1">
      <alignment horizontal="right" vertical="center"/>
    </xf>
    <xf numFmtId="166" fontId="14" fillId="2" borderId="0" xfId="8" applyNumberFormat="1" applyFont="1" applyFill="1" applyAlignment="1">
      <alignment vertical="center"/>
    </xf>
    <xf numFmtId="39" fontId="14" fillId="2" borderId="0" xfId="8" applyNumberFormat="1" applyFont="1" applyFill="1" applyAlignment="1">
      <alignment vertical="center"/>
    </xf>
    <xf numFmtId="37" fontId="13" fillId="13" borderId="0" xfId="8" applyNumberFormat="1" applyFont="1" applyFill="1" applyAlignment="1">
      <alignment vertical="center"/>
    </xf>
    <xf numFmtId="37" fontId="14" fillId="17" borderId="0" xfId="8" applyNumberFormat="1" applyFont="1" applyFill="1" applyAlignment="1">
      <alignment vertical="center"/>
    </xf>
    <xf numFmtId="165" fontId="14" fillId="2" borderId="0" xfId="9" applyNumberFormat="1" applyFont="1" applyFill="1" applyBorder="1" applyAlignment="1" applyProtection="1">
      <alignment vertical="center"/>
    </xf>
    <xf numFmtId="37" fontId="13" fillId="10" borderId="0" xfId="8" applyNumberFormat="1" applyFont="1" applyFill="1" applyAlignment="1">
      <alignment vertical="center"/>
    </xf>
    <xf numFmtId="37" fontId="14" fillId="18" borderId="0" xfId="8" applyNumberFormat="1" applyFont="1" applyFill="1" applyAlignment="1">
      <alignment vertical="center"/>
    </xf>
    <xf numFmtId="37" fontId="13" fillId="11" borderId="0" xfId="8" applyNumberFormat="1" applyFont="1" applyFill="1" applyAlignment="1">
      <alignment vertical="center"/>
    </xf>
    <xf numFmtId="9" fontId="14" fillId="6" borderId="0" xfId="3" applyFont="1" applyFill="1" applyBorder="1" applyAlignment="1" applyProtection="1">
      <alignment vertical="center"/>
    </xf>
    <xf numFmtId="166" fontId="13" fillId="8" borderId="0" xfId="8" applyNumberFormat="1" applyFont="1" applyFill="1" applyAlignment="1">
      <alignment vertical="center"/>
    </xf>
    <xf numFmtId="9" fontId="13" fillId="8" borderId="0" xfId="3" applyFont="1" applyFill="1" applyBorder="1" applyAlignment="1" applyProtection="1">
      <alignment vertical="center"/>
    </xf>
    <xf numFmtId="37" fontId="13" fillId="8" borderId="0" xfId="8" applyNumberFormat="1" applyFont="1" applyFill="1" applyAlignment="1">
      <alignment vertical="center"/>
    </xf>
    <xf numFmtId="166" fontId="7" fillId="19" borderId="0" xfId="8" applyNumberFormat="1" applyFont="1" applyFill="1" applyAlignment="1">
      <alignment vertical="center"/>
    </xf>
    <xf numFmtId="9" fontId="7" fillId="19" borderId="0" xfId="3" applyFont="1" applyFill="1" applyBorder="1" applyAlignment="1" applyProtection="1">
      <alignment vertical="center"/>
    </xf>
    <xf numFmtId="37" fontId="7" fillId="19" borderId="0" xfId="8" applyNumberFormat="1" applyFont="1" applyFill="1" applyAlignment="1">
      <alignment vertical="center"/>
    </xf>
    <xf numFmtId="37" fontId="14" fillId="19" borderId="0" xfId="8" applyNumberFormat="1" applyFont="1" applyFill="1" applyAlignment="1">
      <alignment vertical="center"/>
    </xf>
    <xf numFmtId="1" fontId="7" fillId="19" borderId="0" xfId="0" applyNumberFormat="1" applyFont="1" applyFill="1" applyAlignment="1">
      <alignment vertical="center"/>
    </xf>
    <xf numFmtId="37" fontId="13" fillId="15" borderId="0" xfId="8" applyNumberFormat="1" applyFont="1" applyFill="1" applyAlignment="1">
      <alignment vertical="center"/>
    </xf>
    <xf numFmtId="37" fontId="7" fillId="20" borderId="0" xfId="8" applyNumberFormat="1" applyFont="1" applyFill="1" applyAlignment="1">
      <alignment vertical="center"/>
    </xf>
    <xf numFmtId="37" fontId="14" fillId="20" borderId="0" xfId="8" applyNumberFormat="1" applyFont="1" applyFill="1" applyAlignment="1">
      <alignment vertical="center"/>
    </xf>
    <xf numFmtId="37" fontId="13" fillId="16" borderId="0" xfId="8" applyNumberFormat="1" applyFont="1" applyFill="1" applyAlignment="1">
      <alignment vertical="center"/>
    </xf>
    <xf numFmtId="1" fontId="7" fillId="21" borderId="0" xfId="0" applyNumberFormat="1" applyFont="1" applyFill="1" applyAlignment="1">
      <alignment vertical="center"/>
    </xf>
    <xf numFmtId="37" fontId="14" fillId="21" borderId="0" xfId="8" applyNumberFormat="1" applyFont="1" applyFill="1" applyAlignment="1">
      <alignment vertical="center"/>
    </xf>
    <xf numFmtId="37" fontId="7" fillId="21" borderId="0" xfId="8" applyNumberFormat="1" applyFont="1" applyFill="1" applyAlignment="1">
      <alignment vertical="center"/>
    </xf>
    <xf numFmtId="37" fontId="7" fillId="6" borderId="0" xfId="8" applyNumberFormat="1" applyFont="1" applyFill="1" applyAlignment="1">
      <alignment vertical="center"/>
    </xf>
    <xf numFmtId="37" fontId="13" fillId="7" borderId="0" xfId="8" applyNumberFormat="1" applyFont="1" applyFill="1" applyAlignment="1">
      <alignment vertical="center"/>
    </xf>
    <xf numFmtId="37" fontId="14" fillId="6" borderId="0" xfId="8" applyNumberFormat="1" applyFont="1" applyFill="1" applyAlignment="1">
      <alignment vertical="center"/>
    </xf>
    <xf numFmtId="166" fontId="14" fillId="0" borderId="0" xfId="8" applyNumberFormat="1" applyFont="1" applyAlignment="1">
      <alignment vertical="center"/>
    </xf>
    <xf numFmtId="166" fontId="14" fillId="0" borderId="0" xfId="8" applyNumberFormat="1" applyFont="1" applyAlignment="1">
      <alignment horizontal="center" vertical="center"/>
    </xf>
    <xf numFmtId="0" fontId="8" fillId="23" borderId="0" xfId="0" applyFont="1" applyFill="1"/>
    <xf numFmtId="41" fontId="20" fillId="23" borderId="0" xfId="0" applyNumberFormat="1" applyFont="1" applyFill="1" applyAlignment="1">
      <alignment horizontal="center" vertical="center"/>
    </xf>
    <xf numFmtId="37" fontId="13" fillId="12" borderId="0" xfId="8" applyNumberFormat="1" applyFont="1" applyFill="1" applyAlignment="1">
      <alignment vertical="center"/>
    </xf>
    <xf numFmtId="9" fontId="14" fillId="2" borderId="0" xfId="0" applyNumberFormat="1" applyFont="1" applyFill="1" applyAlignment="1">
      <alignment vertical="center"/>
    </xf>
    <xf numFmtId="0" fontId="1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66" fontId="14" fillId="0" borderId="0" xfId="8" applyNumberFormat="1" applyFont="1" applyAlignment="1">
      <alignment horizontal="left" vertical="center"/>
    </xf>
    <xf numFmtId="168" fontId="14" fillId="0" borderId="0" xfId="8" applyNumberFormat="1" applyFont="1" applyAlignment="1">
      <alignment horizontal="centerContinuous" vertical="center"/>
    </xf>
    <xf numFmtId="0" fontId="14" fillId="0" borderId="0" xfId="0" applyFont="1" applyAlignment="1">
      <alignment horizontal="left" vertical="center"/>
    </xf>
    <xf numFmtId="169" fontId="22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justify" vertical="center" wrapText="1"/>
    </xf>
    <xf numFmtId="168" fontId="10" fillId="0" borderId="0" xfId="8" applyNumberFormat="1" applyFont="1" applyAlignment="1">
      <alignment horizontal="left" vertical="center"/>
    </xf>
    <xf numFmtId="166" fontId="10" fillId="0" borderId="0" xfId="8" applyNumberFormat="1" applyFont="1" applyAlignment="1">
      <alignment vertical="center"/>
    </xf>
    <xf numFmtId="170" fontId="14" fillId="0" borderId="0" xfId="1" applyNumberFormat="1" applyFont="1" applyFill="1" applyBorder="1" applyAlignment="1" applyProtection="1">
      <alignment horizontal="left" vertical="center"/>
    </xf>
    <xf numFmtId="166" fontId="10" fillId="0" borderId="0" xfId="8" applyNumberFormat="1" applyFont="1" applyAlignment="1">
      <alignment horizontal="right" vertical="center"/>
    </xf>
    <xf numFmtId="170" fontId="14" fillId="0" borderId="2" xfId="1" applyNumberFormat="1" applyFont="1" applyFill="1" applyBorder="1" applyAlignment="1" applyProtection="1">
      <alignment horizontal="center" vertical="center"/>
    </xf>
    <xf numFmtId="9" fontId="10" fillId="0" borderId="3" xfId="3" applyFont="1" applyFill="1" applyBorder="1" applyAlignment="1" applyProtection="1">
      <alignment vertical="center"/>
    </xf>
    <xf numFmtId="9" fontId="10" fillId="0" borderId="0" xfId="3" applyFont="1" applyFill="1" applyBorder="1" applyAlignment="1" applyProtection="1">
      <alignment vertical="center"/>
    </xf>
    <xf numFmtId="10" fontId="10" fillId="0" borderId="0" xfId="3" applyNumberFormat="1" applyFont="1" applyFill="1" applyBorder="1" applyAlignment="1" applyProtection="1">
      <alignment horizontal="left" vertical="center"/>
    </xf>
    <xf numFmtId="170" fontId="14" fillId="0" borderId="0" xfId="1" applyNumberFormat="1" applyFont="1" applyFill="1" applyBorder="1" applyAlignment="1" applyProtection="1">
      <alignment horizontal="center" vertical="center"/>
    </xf>
    <xf numFmtId="9" fontId="14" fillId="9" borderId="0" xfId="3" applyFont="1" applyFill="1" applyBorder="1" applyAlignment="1" applyProtection="1">
      <alignment horizontal="left" vertical="center"/>
      <protection locked="0"/>
    </xf>
    <xf numFmtId="10" fontId="14" fillId="0" borderId="0" xfId="3" applyNumberFormat="1" applyFont="1" applyFill="1" applyBorder="1" applyAlignment="1" applyProtection="1">
      <alignment horizontal="left" vertical="center"/>
    </xf>
    <xf numFmtId="171" fontId="14" fillId="0" borderId="3" xfId="1" applyNumberFormat="1" applyFont="1" applyFill="1" applyBorder="1" applyAlignment="1" applyProtection="1">
      <alignment horizontal="left" vertical="center"/>
    </xf>
    <xf numFmtId="39" fontId="10" fillId="0" borderId="0" xfId="8" applyNumberFormat="1" applyFont="1" applyAlignment="1">
      <alignment horizontal="center" vertical="center"/>
    </xf>
    <xf numFmtId="166" fontId="10" fillId="0" borderId="0" xfId="8" applyNumberFormat="1" applyFont="1" applyAlignment="1">
      <alignment horizontal="center" vertical="center"/>
    </xf>
    <xf numFmtId="0" fontId="22" fillId="0" borderId="0" xfId="0" applyFont="1" applyAlignment="1">
      <alignment horizontal="justify" vertical="center" wrapText="1"/>
    </xf>
    <xf numFmtId="9" fontId="14" fillId="0" borderId="0" xfId="3" applyFont="1" applyFill="1" applyBorder="1" applyAlignment="1" applyProtection="1">
      <alignment horizontal="left" vertical="center"/>
    </xf>
    <xf numFmtId="1" fontId="10" fillId="0" borderId="0" xfId="8" applyNumberFormat="1" applyFont="1" applyAlignment="1">
      <alignment vertical="center"/>
    </xf>
    <xf numFmtId="164" fontId="14" fillId="0" borderId="0" xfId="1" applyNumberFormat="1" applyFont="1" applyFill="1" applyBorder="1" applyAlignment="1" applyProtection="1">
      <alignment horizontal="left" vertical="center"/>
    </xf>
    <xf numFmtId="39" fontId="22" fillId="0" borderId="0" xfId="8" applyNumberFormat="1" applyFont="1" applyAlignment="1">
      <alignment horizontal="center" vertical="center"/>
    </xf>
    <xf numFmtId="1" fontId="14" fillId="0" borderId="0" xfId="0" applyNumberFormat="1" applyFont="1" applyAlignment="1">
      <alignment horizontal="justify" vertical="center" wrapText="1"/>
    </xf>
    <xf numFmtId="166" fontId="22" fillId="0" borderId="0" xfId="8" applyNumberFormat="1" applyFont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165" fontId="14" fillId="0" borderId="0" xfId="3" applyNumberFormat="1" applyFont="1" applyBorder="1" applyAlignment="1" applyProtection="1">
      <alignment horizontal="left" vertical="center"/>
    </xf>
    <xf numFmtId="166" fontId="15" fillId="2" borderId="0" xfId="8" applyNumberFormat="1" applyFont="1" applyFill="1" applyAlignment="1">
      <alignment horizontal="center" vertical="center"/>
    </xf>
    <xf numFmtId="0" fontId="26" fillId="2" borderId="0" xfId="0" applyFont="1" applyFill="1" applyAlignment="1">
      <alignment vertical="center"/>
    </xf>
    <xf numFmtId="17" fontId="27" fillId="11" borderId="0" xfId="0" applyNumberFormat="1" applyFont="1" applyFill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9" fontId="7" fillId="9" borderId="0" xfId="0" applyNumberFormat="1" applyFont="1" applyFill="1" applyAlignment="1" applyProtection="1">
      <alignment horizontal="center"/>
      <protection locked="0"/>
    </xf>
    <xf numFmtId="10" fontId="14" fillId="18" borderId="0" xfId="8" applyNumberFormat="1" applyFont="1" applyFill="1" applyAlignment="1">
      <alignment vertical="center"/>
    </xf>
    <xf numFmtId="0" fontId="18" fillId="5" borderId="0" xfId="0" applyFont="1" applyFill="1" applyAlignment="1">
      <alignment horizontal="left" vertical="center" wrapText="1"/>
    </xf>
    <xf numFmtId="44" fontId="7" fillId="9" borderId="0" xfId="2" applyFont="1" applyFill="1" applyBorder="1" applyAlignment="1" applyProtection="1">
      <alignment horizontal="center"/>
      <protection locked="0"/>
    </xf>
    <xf numFmtId="44" fontId="7" fillId="3" borderId="0" xfId="2" applyFont="1" applyFill="1" applyBorder="1" applyAlignment="1" applyProtection="1">
      <alignment horizontal="center"/>
    </xf>
    <xf numFmtId="0" fontId="8" fillId="15" borderId="0" xfId="0" applyFont="1" applyFill="1" applyAlignment="1">
      <alignment horizontal="center" vertical="center" wrapText="1"/>
    </xf>
    <xf numFmtId="166" fontId="7" fillId="3" borderId="0" xfId="8" applyNumberFormat="1" applyFont="1" applyFill="1" applyAlignment="1">
      <alignment horizontal="left" vertical="center"/>
    </xf>
    <xf numFmtId="166" fontId="14" fillId="9" borderId="0" xfId="8" applyNumberFormat="1" applyFont="1" applyFill="1" applyAlignment="1" applyProtection="1">
      <alignment horizontal="left" vertical="center"/>
      <protection locked="0"/>
    </xf>
    <xf numFmtId="0" fontId="28" fillId="3" borderId="0" xfId="0" applyFont="1" applyFill="1" applyAlignment="1">
      <alignment horizontal="center" vertical="center" wrapText="1"/>
    </xf>
    <xf numFmtId="0" fontId="12" fillId="9" borderId="0" xfId="0" applyFont="1" applyFill="1" applyAlignment="1" applyProtection="1">
      <alignment horizontal="right"/>
      <protection locked="0"/>
    </xf>
    <xf numFmtId="0" fontId="8" fillId="13" borderId="0" xfId="0" applyFont="1" applyFill="1" applyAlignment="1">
      <alignment horizontal="center" vertical="center" wrapText="1"/>
    </xf>
    <xf numFmtId="44" fontId="12" fillId="9" borderId="0" xfId="2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>
      <alignment horizontal="center" vertical="center"/>
    </xf>
    <xf numFmtId="166" fontId="14" fillId="3" borderId="0" xfId="8" applyNumberFormat="1" applyFont="1" applyFill="1" applyAlignment="1">
      <alignment horizontal="left" vertical="center"/>
    </xf>
    <xf numFmtId="0" fontId="7" fillId="9" borderId="0" xfId="0" applyFont="1" applyFill="1" applyAlignment="1" applyProtection="1">
      <alignment horizontal="left" vertical="center"/>
      <protection locked="0"/>
    </xf>
    <xf numFmtId="166" fontId="13" fillId="4" borderId="0" xfId="8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9" fontId="12" fillId="9" borderId="0" xfId="3" applyFont="1" applyFill="1" applyBorder="1" applyAlignment="1" applyProtection="1">
      <alignment horizontal="center" vertical="center"/>
      <protection locked="0"/>
    </xf>
    <xf numFmtId="166" fontId="13" fillId="14" borderId="0" xfId="8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16" fillId="3" borderId="0" xfId="0" applyFont="1" applyFill="1" applyAlignment="1">
      <alignment horizontal="center" vertical="center" textRotation="90"/>
    </xf>
    <xf numFmtId="0" fontId="9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right"/>
    </xf>
    <xf numFmtId="0" fontId="8" fillId="13" borderId="0" xfId="0" applyFont="1" applyFill="1" applyAlignment="1">
      <alignment horizontal="center"/>
    </xf>
    <xf numFmtId="166" fontId="7" fillId="9" borderId="0" xfId="8" applyNumberFormat="1" applyFont="1" applyFill="1" applyAlignment="1" applyProtection="1">
      <alignment horizontal="left" vertical="center"/>
      <protection locked="0"/>
    </xf>
    <xf numFmtId="0" fontId="8" fillId="10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/>
    </xf>
    <xf numFmtId="0" fontId="8" fillId="12" borderId="0" xfId="0" applyFont="1" applyFill="1" applyAlignment="1">
      <alignment horizontal="center" vertical="center" wrapText="1"/>
    </xf>
    <xf numFmtId="165" fontId="14" fillId="9" borderId="0" xfId="3" applyNumberFormat="1" applyFont="1" applyFill="1" applyBorder="1" applyAlignment="1" applyProtection="1">
      <alignment horizontal="center" vertical="center"/>
      <protection locked="0"/>
    </xf>
    <xf numFmtId="9" fontId="14" fillId="9" borderId="0" xfId="3" applyFont="1" applyFill="1" applyBorder="1" applyAlignment="1" applyProtection="1">
      <alignment horizontal="center" vertical="center"/>
      <protection locked="0"/>
    </xf>
    <xf numFmtId="0" fontId="8" fillId="23" borderId="0" xfId="0" applyFont="1" applyFill="1" applyAlignment="1">
      <alignment horizontal="center" vertical="center" wrapText="1"/>
    </xf>
    <xf numFmtId="0" fontId="18" fillId="22" borderId="0" xfId="0" applyFont="1" applyFill="1" applyAlignment="1">
      <alignment horizontal="left" vertical="center" wrapText="1"/>
    </xf>
    <xf numFmtId="0" fontId="20" fillId="23" borderId="0" xfId="0" applyFont="1" applyFill="1" applyAlignment="1">
      <alignment horizontal="center"/>
    </xf>
    <xf numFmtId="166" fontId="14" fillId="19" borderId="0" xfId="8" applyNumberFormat="1" applyFont="1" applyFill="1" applyAlignment="1">
      <alignment horizontal="left" vertical="center"/>
    </xf>
    <xf numFmtId="0" fontId="7" fillId="19" borderId="0" xfId="0" applyFont="1" applyFill="1" applyAlignment="1">
      <alignment horizontal="left" vertical="center"/>
    </xf>
    <xf numFmtId="166" fontId="11" fillId="6" borderId="0" xfId="8" applyNumberFormat="1" applyFont="1" applyFill="1" applyAlignment="1">
      <alignment horizontal="right" vertical="center"/>
    </xf>
    <xf numFmtId="166" fontId="13" fillId="13" borderId="0" xfId="8" applyNumberFormat="1" applyFont="1" applyFill="1" applyAlignment="1">
      <alignment vertical="center"/>
    </xf>
    <xf numFmtId="166" fontId="14" fillId="17" borderId="0" xfId="8" applyNumberFormat="1" applyFont="1" applyFill="1" applyAlignment="1">
      <alignment horizontal="left" vertical="center"/>
    </xf>
    <xf numFmtId="166" fontId="13" fillId="10" borderId="0" xfId="8" applyNumberFormat="1" applyFont="1" applyFill="1" applyAlignment="1">
      <alignment vertical="center"/>
    </xf>
    <xf numFmtId="166" fontId="13" fillId="11" borderId="0" xfId="8" applyNumberFormat="1" applyFont="1" applyFill="1" applyAlignment="1">
      <alignment vertical="center"/>
    </xf>
    <xf numFmtId="166" fontId="14" fillId="18" borderId="0" xfId="8" applyNumberFormat="1" applyFont="1" applyFill="1" applyAlignment="1">
      <alignment vertical="center"/>
    </xf>
    <xf numFmtId="17" fontId="23" fillId="11" borderId="0" xfId="0" applyNumberFormat="1" applyFont="1" applyFill="1" applyAlignment="1">
      <alignment horizontal="center" vertical="center"/>
    </xf>
    <xf numFmtId="166" fontId="14" fillId="2" borderId="0" xfId="8" applyNumberFormat="1" applyFont="1" applyFill="1" applyAlignment="1">
      <alignment horizontal="left" vertical="center"/>
    </xf>
    <xf numFmtId="166" fontId="14" fillId="20" borderId="0" xfId="8" applyNumberFormat="1" applyFont="1" applyFill="1" applyAlignment="1">
      <alignment horizontal="left" vertical="center"/>
    </xf>
    <xf numFmtId="166" fontId="13" fillId="7" borderId="0" xfId="8" applyNumberFormat="1" applyFont="1" applyFill="1" applyAlignment="1">
      <alignment vertical="center"/>
    </xf>
    <xf numFmtId="166" fontId="13" fillId="12" borderId="0" xfId="8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166" fontId="13" fillId="8" borderId="0" xfId="8" applyNumberFormat="1" applyFont="1" applyFill="1" applyAlignment="1">
      <alignment vertical="center"/>
    </xf>
    <xf numFmtId="166" fontId="14" fillId="21" borderId="0" xfId="8" applyNumberFormat="1" applyFont="1" applyFill="1" applyAlignment="1">
      <alignment horizontal="left" vertical="center"/>
    </xf>
    <xf numFmtId="0" fontId="7" fillId="21" borderId="0" xfId="0" applyFont="1" applyFill="1" applyAlignment="1">
      <alignment horizontal="left" vertical="center"/>
    </xf>
    <xf numFmtId="166" fontId="13" fillId="15" borderId="0" xfId="8" applyNumberFormat="1" applyFont="1" applyFill="1" applyAlignment="1">
      <alignment vertical="center"/>
    </xf>
    <xf numFmtId="166" fontId="13" fillId="16" borderId="0" xfId="8" applyNumberFormat="1" applyFont="1" applyFill="1" applyAlignment="1">
      <alignment vertical="center"/>
    </xf>
    <xf numFmtId="166" fontId="24" fillId="7" borderId="1" xfId="8" applyNumberFormat="1" applyFont="1" applyFill="1" applyBorder="1" applyAlignment="1">
      <alignment horizontal="left" vertical="center"/>
    </xf>
    <xf numFmtId="166" fontId="24" fillId="7" borderId="0" xfId="8" applyNumberFormat="1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7" fillId="14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/>
    </xf>
    <xf numFmtId="44" fontId="25" fillId="3" borderId="0" xfId="2" applyFont="1" applyFill="1" applyBorder="1" applyAlignment="1" applyProtection="1">
      <alignment horizontal="center" vertical="center"/>
    </xf>
    <xf numFmtId="9" fontId="25" fillId="3" borderId="0" xfId="2" applyNumberFormat="1" applyFont="1" applyFill="1" applyBorder="1" applyAlignment="1" applyProtection="1">
      <alignment horizontal="center" vertical="center"/>
    </xf>
    <xf numFmtId="1" fontId="25" fillId="3" borderId="0" xfId="2" applyNumberFormat="1" applyFont="1" applyFill="1" applyBorder="1" applyAlignment="1" applyProtection="1">
      <alignment horizontal="center" vertical="center"/>
    </xf>
  </cellXfs>
  <cellStyles count="87">
    <cellStyle name="Excel Built-in Normal 2" xfId="6" xr:uid="{00000000-0005-0000-0000-000002000000}"/>
    <cellStyle name="Hiperlink" xfId="7" builtinId="8"/>
    <cellStyle name="Hiperlink Visitado" xfId="10" builtinId="9" hidden="1"/>
    <cellStyle name="Hiperlink Visitado" xfId="11" builtinId="9" hidden="1"/>
    <cellStyle name="Hiperlink Visitado" xfId="12" builtinId="9" hidden="1"/>
    <cellStyle name="Hiperlink Visitado" xfId="13" builtinId="9" hidden="1"/>
    <cellStyle name="Hiperlink Visitado" xfId="14" builtinId="9" hidden="1"/>
    <cellStyle name="Hiperlink Visitado" xfId="15" builtinId="9" hidden="1"/>
    <cellStyle name="Hiperlink Visitado" xfId="16" builtinId="9" hidden="1"/>
    <cellStyle name="Hiperlink Visitado" xfId="17" builtinId="9" hidden="1"/>
    <cellStyle name="Hiperlink Visitado" xfId="18" builtinId="9" hidden="1"/>
    <cellStyle name="Hiperlink Visitado" xfId="19" builtinId="9" hidden="1"/>
    <cellStyle name="Hiperlink Visitado" xfId="20" builtinId="9" hidden="1"/>
    <cellStyle name="Hiperlink Visitado" xfId="21" builtinId="9" hidden="1"/>
    <cellStyle name="Hiperlink Visitado" xfId="22" builtinId="9" hidden="1"/>
    <cellStyle name="Hiperlink Visitado" xfId="23" builtinId="9" hidden="1"/>
    <cellStyle name="Hiperlink Visitado" xfId="24" builtinId="9" hidden="1"/>
    <cellStyle name="Hiperlink Visitado" xfId="25" builtinId="9" hidden="1"/>
    <cellStyle name="Hiperlink Visitado" xfId="26" builtinId="9" hidden="1"/>
    <cellStyle name="Hiperlink Visitado" xfId="27" builtinId="9" hidden="1"/>
    <cellStyle name="Hiperlink Visitado" xfId="28" builtinId="9" hidden="1"/>
    <cellStyle name="Hiperlink Visitado" xfId="29" builtinId="9" hidden="1"/>
    <cellStyle name="Hiperlink Visitado" xfId="30" builtinId="9" hidden="1"/>
    <cellStyle name="Hiperlink Visitado" xfId="31" builtinId="9" hidden="1"/>
    <cellStyle name="Hiperlink Visitado" xfId="32" builtinId="9" hidden="1"/>
    <cellStyle name="Hiperlink Visitado" xfId="33" builtinId="9" hidden="1"/>
    <cellStyle name="Hiperlink Visitado" xfId="34" builtinId="9" hidden="1"/>
    <cellStyle name="Hiperlink Visitado" xfId="35" builtinId="9" hidden="1"/>
    <cellStyle name="Hiperlink Visitado" xfId="36" builtinId="9" hidden="1"/>
    <cellStyle name="Hiperlink Visitado" xfId="37" builtinId="9" hidden="1"/>
    <cellStyle name="Hiperlink Visitado" xfId="38" builtinId="9" hidden="1"/>
    <cellStyle name="Hiperlink Visitado" xfId="39" builtinId="9" hidden="1"/>
    <cellStyle name="Hiperlink Visitado" xfId="40" builtinId="9" hidden="1"/>
    <cellStyle name="Hiperlink Visitado" xfId="41" builtinId="9" hidden="1"/>
    <cellStyle name="Hiperlink Visitado" xfId="42" builtinId="9" hidden="1"/>
    <cellStyle name="Hiperlink Visitado" xfId="43" builtinId="9" hidden="1"/>
    <cellStyle name="Hiperlink Visitado" xfId="44" builtinId="9" hidden="1"/>
    <cellStyle name="Hiperlink Visitado" xfId="45" builtinId="9" hidden="1"/>
    <cellStyle name="Hiperlink Visitado" xfId="46" builtinId="9" hidden="1"/>
    <cellStyle name="Hiperlink Visitado" xfId="47" builtinId="9" hidden="1"/>
    <cellStyle name="Hiperlink Visitado" xfId="48" builtinId="9" hidden="1"/>
    <cellStyle name="Hiperlink Visitado" xfId="49" builtinId="9" hidden="1"/>
    <cellStyle name="Hiperlink Visitado" xfId="50" builtinId="9" hidden="1"/>
    <cellStyle name="Hiperlink Visitado" xfId="51" builtinId="9" hidden="1"/>
    <cellStyle name="Hiperlink Visitado" xfId="52" builtinId="9" hidden="1"/>
    <cellStyle name="Hiperlink Visitado" xfId="53" builtinId="9" hidden="1"/>
    <cellStyle name="Hiperlink Visitado" xfId="54" builtinId="9" hidden="1"/>
    <cellStyle name="Hiperlink Visitado" xfId="55" builtinId="9" hidden="1"/>
    <cellStyle name="Hiperlink Visitado" xfId="56" builtinId="9" hidden="1"/>
    <cellStyle name="Hiperlink Visitado" xfId="57" builtinId="9" hidden="1"/>
    <cellStyle name="Hiperlink Visitado" xfId="58" builtinId="9" hidden="1"/>
    <cellStyle name="Hiperlink Visitado" xfId="59" builtinId="9" hidden="1"/>
    <cellStyle name="Hiperlink Visitado" xfId="60" builtinId="9" hidden="1"/>
    <cellStyle name="Hiperlink Visitado" xfId="61" builtinId="9" hidden="1"/>
    <cellStyle name="Hiperlink Visitado" xfId="62" builtinId="9" hidden="1"/>
    <cellStyle name="Hiperlink Visitado" xfId="63" builtinId="9" hidden="1"/>
    <cellStyle name="Hiperlink Visitado" xfId="64" builtinId="9" hidden="1"/>
    <cellStyle name="Hiperlink Visitado" xfId="65" builtinId="9" hidden="1"/>
    <cellStyle name="Hiperlink Visitado" xfId="66" builtinId="9" hidden="1"/>
    <cellStyle name="Hiperlink Visitado" xfId="67" builtinId="9" hidden="1"/>
    <cellStyle name="Hiperlink Visitado" xfId="68" builtinId="9" hidden="1"/>
    <cellStyle name="Hiperlink Visitado" xfId="69" builtinId="9" hidden="1"/>
    <cellStyle name="Hiperlink Visitado" xfId="70" builtinId="9" hidden="1"/>
    <cellStyle name="Hiperlink Visitado" xfId="71" builtinId="9" hidden="1"/>
    <cellStyle name="Hiperlink Visitado" xfId="72" builtinId="9" hidden="1"/>
    <cellStyle name="Hiperlink Visitado" xfId="73" builtinId="9" hidden="1"/>
    <cellStyle name="Hiperlink Visitado" xfId="74" builtinId="9" hidden="1"/>
    <cellStyle name="Hiperlink Visitado" xfId="75" builtinId="9" hidden="1"/>
    <cellStyle name="Hiperlink Visitado" xfId="76" builtinId="9" hidden="1"/>
    <cellStyle name="Hiperlink Visitado" xfId="77" builtinId="9" hidden="1"/>
    <cellStyle name="Hiperlink Visitado" xfId="78" builtinId="9" hidden="1"/>
    <cellStyle name="Hiperlink Visitado" xfId="79" builtinId="9" hidden="1"/>
    <cellStyle name="Hiperlink Visitado" xfId="80" builtinId="9" hidden="1"/>
    <cellStyle name="Hiperlink Visitado" xfId="81" builtinId="9" hidden="1"/>
    <cellStyle name="Hiperlink Visitado" xfId="82" builtinId="9" hidden="1"/>
    <cellStyle name="Hiperlink Visitado" xfId="83" builtinId="9" hidden="1"/>
    <cellStyle name="Hiperlink Visitado" xfId="84" builtinId="9" hidden="1"/>
    <cellStyle name="Hiperlink Visitado" xfId="85" builtinId="9" hidden="1"/>
    <cellStyle name="Hiperlink Visitado" xfId="86" builtinId="9" hidden="1"/>
    <cellStyle name="Moeda" xfId="2" builtinId="4"/>
    <cellStyle name="Normal" xfId="0" builtinId="0"/>
    <cellStyle name="Normal 2" xfId="4" xr:uid="{00000000-0005-0000-0000-000052000000}"/>
    <cellStyle name="Normal_arrumando" xfId="8" xr:uid="{00000000-0005-0000-0000-000053000000}"/>
    <cellStyle name="Porcentagem" xfId="3" builtinId="5"/>
    <cellStyle name="Porcentagem 2" xfId="9" xr:uid="{00000000-0005-0000-0000-000055000000}"/>
    <cellStyle name="Separador de milhares 2" xfId="5" xr:uid="{00000000-0005-0000-0000-000056000000}"/>
    <cellStyle name="Vírgula" xfId="1" builtinId="3"/>
  </cellStyles>
  <dxfs count="2">
    <dxf>
      <font>
        <color rgb="FFFF000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9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Fluxo Acumulado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 (DRE)'!$B$82</c:f>
              <c:strCache>
                <c:ptCount val="1"/>
                <c:pt idx="0">
                  <c:v>Fluxo Acumulado</c:v>
                </c:pt>
              </c:strCache>
            </c:strRef>
          </c:tx>
          <c:cat>
            <c:strRef>
              <c:f>'RESULTADO (DRE)'!$F$4:$Q$4</c:f>
              <c:strCache>
                <c:ptCount val="9"/>
                <c:pt idx="0">
                  <c:v>1st Year</c:v>
                </c:pt>
                <c:pt idx="4">
                  <c:v>2nd Year</c:v>
                </c:pt>
                <c:pt idx="8">
                  <c:v>3rd Year</c:v>
                </c:pt>
              </c:strCache>
            </c:strRef>
          </c:cat>
          <c:val>
            <c:numRef>
              <c:f>'RESULTADO (DRE)'!$F$82:$Q$82</c:f>
              <c:numCache>
                <c:formatCode>#,##0;[Red]#,##0</c:formatCode>
                <c:ptCount val="12"/>
                <c:pt idx="0">
                  <c:v>-22158.440000000002</c:v>
                </c:pt>
                <c:pt idx="1">
                  <c:v>-31945.24</c:v>
                </c:pt>
                <c:pt idx="2">
                  <c:v>-35132.81</c:v>
                </c:pt>
                <c:pt idx="3">
                  <c:v>-31384.89</c:v>
                </c:pt>
                <c:pt idx="4">
                  <c:v>-21164.110000000004</c:v>
                </c:pt>
                <c:pt idx="5">
                  <c:v>-3550.4700000000048</c:v>
                </c:pt>
                <c:pt idx="6">
                  <c:v>26128.989999999994</c:v>
                </c:pt>
                <c:pt idx="7">
                  <c:v>70128.39</c:v>
                </c:pt>
                <c:pt idx="8">
                  <c:v>136202.946</c:v>
                </c:pt>
                <c:pt idx="9">
                  <c:v>212508.28999999998</c:v>
                </c:pt>
                <c:pt idx="10">
                  <c:v>309897.63399999996</c:v>
                </c:pt>
                <c:pt idx="11">
                  <c:v>431623.87799999997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3-4CA8-80CF-CA270E3D6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962984"/>
        <c:axId val="2088966104"/>
      </c:lineChart>
      <c:catAx>
        <c:axId val="2088962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pt-BR"/>
          </a:p>
        </c:txPr>
        <c:crossAx val="2088966104"/>
        <c:crosses val="autoZero"/>
        <c:auto val="1"/>
        <c:lblAlgn val="ctr"/>
        <c:lblOffset val="100"/>
        <c:noMultiLvlLbl val="0"/>
      </c:catAx>
      <c:valAx>
        <c:axId val="20889661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R$</a:t>
                </a:r>
              </a:p>
            </c:rich>
          </c:tx>
          <c:overlay val="0"/>
        </c:title>
        <c:numFmt formatCode="#,##0;[Red]#,##0" sourceLinked="1"/>
        <c:majorTickMark val="none"/>
        <c:minorTickMark val="none"/>
        <c:tickLblPos val="nextTo"/>
        <c:crossAx val="208896298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>
          <a:latin typeface="Trebuchet MS"/>
          <a:cs typeface="Trebuchet M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660692</xdr:colOff>
      <xdr:row>4</xdr:row>
      <xdr:rowOff>35720</xdr:rowOff>
    </xdr:from>
    <xdr:to>
      <xdr:col>12</xdr:col>
      <xdr:colOff>636880</xdr:colOff>
      <xdr:row>27</xdr:row>
      <xdr:rowOff>66842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347CD1-2777-4EF9-A207-C9E3724B1F07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f68e18ba-5a54-49cc-9493-afd3764fac7b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43"/>
  <sheetViews>
    <sheetView tabSelected="1" zoomScale="85" zoomScaleNormal="85" zoomScalePageLayoutView="95" workbookViewId="0">
      <selection activeCell="J13" sqref="J13"/>
    </sheetView>
  </sheetViews>
  <sheetFormatPr defaultColWidth="8.85546875" defaultRowHeight="15" x14ac:dyDescent="0.3"/>
  <cols>
    <col min="1" max="1" width="2.85546875" style="3" customWidth="1"/>
    <col min="2" max="2" width="2.140625" style="3" customWidth="1"/>
    <col min="3" max="3" width="25.28515625" style="3" customWidth="1"/>
    <col min="4" max="4" width="2.42578125" style="3" customWidth="1"/>
    <col min="5" max="5" width="11.42578125" style="3" customWidth="1"/>
    <col min="6" max="9" width="8.85546875" style="3"/>
    <col min="10" max="10" width="9.7109375" style="3" customWidth="1"/>
    <col min="11" max="16" width="8.85546875" style="3"/>
    <col min="17" max="17" width="9.85546875" style="3" customWidth="1"/>
    <col min="18" max="18" width="8.85546875" style="3"/>
    <col min="19" max="19" width="13.85546875" style="3" customWidth="1"/>
    <col min="20" max="16384" width="8.85546875" style="3"/>
  </cols>
  <sheetData>
    <row r="1" spans="2:21" ht="6.75" customHeight="1" x14ac:dyDescent="0.3"/>
    <row r="2" spans="2:21" ht="16.5" customHeight="1" x14ac:dyDescent="0.3">
      <c r="B2" s="115" t="s">
        <v>42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</row>
    <row r="3" spans="2:21" ht="15" customHeight="1" x14ac:dyDescent="0.3"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</row>
    <row r="4" spans="2:21" ht="5.25" customHeight="1" x14ac:dyDescent="0.3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2:21" ht="20.100000000000001" customHeight="1" x14ac:dyDescent="0.3">
      <c r="B5" s="21"/>
      <c r="C5" s="21"/>
      <c r="D5" s="21"/>
      <c r="E5" s="21"/>
      <c r="F5" s="121" t="s">
        <v>103</v>
      </c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21"/>
      <c r="S5" s="21"/>
      <c r="T5" s="21"/>
    </row>
    <row r="6" spans="2:21" x14ac:dyDescent="0.3">
      <c r="F6" s="134" t="s">
        <v>34</v>
      </c>
      <c r="G6" s="134"/>
      <c r="H6" s="134"/>
      <c r="I6" s="134"/>
      <c r="J6" s="134" t="s">
        <v>35</v>
      </c>
      <c r="K6" s="134"/>
      <c r="L6" s="134"/>
      <c r="M6" s="134"/>
      <c r="N6" s="134" t="s">
        <v>36</v>
      </c>
      <c r="O6" s="134"/>
      <c r="P6" s="134"/>
      <c r="Q6" s="134"/>
    </row>
    <row r="7" spans="2:21" x14ac:dyDescent="0.3">
      <c r="B7" s="136" t="s">
        <v>41</v>
      </c>
      <c r="C7" s="136"/>
      <c r="D7" s="136"/>
      <c r="E7" s="133" t="s">
        <v>37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5</v>
      </c>
      <c r="K7" s="1" t="s">
        <v>6</v>
      </c>
      <c r="L7" s="1" t="s">
        <v>7</v>
      </c>
      <c r="M7" s="1" t="s">
        <v>8</v>
      </c>
      <c r="N7" s="1" t="s">
        <v>5</v>
      </c>
      <c r="O7" s="1" t="s">
        <v>6</v>
      </c>
      <c r="P7" s="1" t="s">
        <v>7</v>
      </c>
      <c r="Q7" s="1" t="s">
        <v>8</v>
      </c>
    </row>
    <row r="8" spans="2:21" ht="15.95" customHeight="1" x14ac:dyDescent="0.3">
      <c r="B8" s="122" t="s">
        <v>107</v>
      </c>
      <c r="C8" s="122"/>
      <c r="D8" s="122"/>
      <c r="E8" s="133"/>
      <c r="F8" s="2">
        <v>150</v>
      </c>
      <c r="G8" s="2">
        <v>250</v>
      </c>
      <c r="H8" s="2">
        <v>380</v>
      </c>
      <c r="I8" s="2">
        <v>550</v>
      </c>
      <c r="J8" s="2">
        <v>750</v>
      </c>
      <c r="K8" s="2">
        <v>1000</v>
      </c>
      <c r="L8" s="2">
        <v>1300</v>
      </c>
      <c r="M8" s="2">
        <v>1650</v>
      </c>
      <c r="N8" s="2">
        <v>2050</v>
      </c>
      <c r="O8" s="2">
        <v>2500</v>
      </c>
      <c r="P8" s="2">
        <v>3000</v>
      </c>
      <c r="Q8" s="2">
        <v>3600</v>
      </c>
    </row>
    <row r="9" spans="2:21" ht="15.95" customHeight="1" x14ac:dyDescent="0.3">
      <c r="B9" s="122" t="s">
        <v>108</v>
      </c>
      <c r="C9" s="122"/>
      <c r="D9" s="122"/>
      <c r="E9" s="133"/>
      <c r="F9" s="2">
        <v>60</v>
      </c>
      <c r="G9" s="2">
        <v>100</v>
      </c>
      <c r="H9" s="2">
        <v>155</v>
      </c>
      <c r="I9" s="2">
        <v>220</v>
      </c>
      <c r="J9" s="2">
        <v>300</v>
      </c>
      <c r="K9" s="2">
        <v>400</v>
      </c>
      <c r="L9" s="2">
        <v>520</v>
      </c>
      <c r="M9" s="2">
        <v>660</v>
      </c>
      <c r="N9" s="2">
        <v>820</v>
      </c>
      <c r="O9" s="2">
        <v>1000</v>
      </c>
      <c r="P9" s="2">
        <v>1200</v>
      </c>
      <c r="Q9" s="2">
        <v>1450</v>
      </c>
    </row>
    <row r="10" spans="2:21" ht="15.95" customHeight="1" x14ac:dyDescent="0.3">
      <c r="B10" s="122" t="s">
        <v>109</v>
      </c>
      <c r="C10" s="122"/>
      <c r="D10" s="122"/>
      <c r="E10" s="133"/>
      <c r="F10" s="2">
        <v>20</v>
      </c>
      <c r="G10" s="2">
        <v>35</v>
      </c>
      <c r="H10" s="2">
        <v>55</v>
      </c>
      <c r="I10" s="2">
        <v>80</v>
      </c>
      <c r="J10" s="2">
        <v>110</v>
      </c>
      <c r="K10" s="2">
        <v>150</v>
      </c>
      <c r="L10" s="2">
        <v>195</v>
      </c>
      <c r="M10" s="2">
        <v>250</v>
      </c>
      <c r="N10" s="2">
        <v>310</v>
      </c>
      <c r="O10" s="2">
        <v>380</v>
      </c>
      <c r="P10" s="2">
        <v>460</v>
      </c>
      <c r="Q10" s="2">
        <v>550</v>
      </c>
    </row>
    <row r="11" spans="2:21" ht="15.95" customHeight="1" x14ac:dyDescent="0.3">
      <c r="B11" s="122" t="s">
        <v>110</v>
      </c>
      <c r="C11" s="122"/>
      <c r="D11" s="122"/>
      <c r="E11" s="133"/>
      <c r="F11" s="2">
        <v>0</v>
      </c>
      <c r="G11" s="2">
        <v>0</v>
      </c>
      <c r="H11" s="2">
        <v>3</v>
      </c>
      <c r="I11" s="2">
        <v>7</v>
      </c>
      <c r="J11" s="2">
        <v>12</v>
      </c>
      <c r="K11" s="2">
        <v>18</v>
      </c>
      <c r="L11" s="2">
        <v>26</v>
      </c>
      <c r="M11" s="2">
        <v>35</v>
      </c>
      <c r="N11" s="2">
        <v>46</v>
      </c>
      <c r="O11" s="2">
        <v>58</v>
      </c>
      <c r="P11" s="2">
        <v>72</v>
      </c>
      <c r="Q11" s="2">
        <v>88</v>
      </c>
    </row>
    <row r="12" spans="2:21" ht="15.95" customHeight="1" x14ac:dyDescent="0.3">
      <c r="B12" s="122"/>
      <c r="C12" s="122"/>
      <c r="D12" s="122"/>
      <c r="E12" s="133"/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2:21" ht="15.95" customHeight="1" x14ac:dyDescent="0.3">
      <c r="B13" s="122"/>
      <c r="C13" s="122"/>
      <c r="D13" s="122"/>
      <c r="E13" s="133"/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5" spans="2:21" x14ac:dyDescent="0.3">
      <c r="B15" s="123" t="s">
        <v>104</v>
      </c>
      <c r="C15" s="123"/>
      <c r="D15" s="123"/>
      <c r="E15" s="123"/>
      <c r="F15" s="137" t="s">
        <v>89</v>
      </c>
      <c r="G15" s="137"/>
      <c r="I15" s="129" t="s">
        <v>70</v>
      </c>
      <c r="J15" s="129"/>
      <c r="K15" s="129"/>
      <c r="L15" s="129"/>
      <c r="M15" s="129"/>
      <c r="N15" s="132" t="s">
        <v>90</v>
      </c>
      <c r="O15" s="132"/>
      <c r="Q15" s="118" t="s">
        <v>72</v>
      </c>
      <c r="R15" s="118"/>
      <c r="S15" s="118"/>
      <c r="T15" s="118"/>
      <c r="U15" s="118"/>
    </row>
    <row r="16" spans="2:21" x14ac:dyDescent="0.3">
      <c r="B16" s="123"/>
      <c r="C16" s="123"/>
      <c r="D16" s="123"/>
      <c r="E16" s="123"/>
      <c r="F16" s="130">
        <v>0.1</v>
      </c>
      <c r="G16" s="130"/>
      <c r="I16" s="129"/>
      <c r="J16" s="129"/>
      <c r="K16" s="129"/>
      <c r="L16" s="129"/>
      <c r="M16" s="129"/>
      <c r="N16" s="130">
        <v>0.1</v>
      </c>
      <c r="O16" s="130"/>
      <c r="Q16" s="118"/>
      <c r="R16" s="118"/>
      <c r="S16" s="118"/>
      <c r="T16" s="118"/>
      <c r="U16" s="118"/>
    </row>
    <row r="17" spans="2:23" x14ac:dyDescent="0.3">
      <c r="B17" s="125" t="str">
        <f>B8</f>
        <v>Plano Free (conversões)</v>
      </c>
      <c r="C17" s="125"/>
      <c r="D17" s="124">
        <v>1</v>
      </c>
      <c r="E17" s="124"/>
      <c r="I17" s="128" t="s">
        <v>32</v>
      </c>
      <c r="J17" s="128"/>
      <c r="K17" s="128"/>
      <c r="L17" s="128"/>
      <c r="M17" s="128"/>
      <c r="Q17" s="131" t="s">
        <v>33</v>
      </c>
      <c r="R17" s="131"/>
      <c r="S17" s="131"/>
      <c r="T17" s="131"/>
      <c r="U17" s="131"/>
    </row>
    <row r="18" spans="2:23" x14ac:dyDescent="0.3">
      <c r="B18" s="125"/>
      <c r="C18" s="125"/>
      <c r="D18" s="124"/>
      <c r="E18" s="124"/>
      <c r="I18" s="138" t="s">
        <v>45</v>
      </c>
      <c r="J18" s="138"/>
      <c r="K18" s="138"/>
      <c r="L18" s="124">
        <v>800</v>
      </c>
      <c r="M18" s="124"/>
      <c r="Q18" s="120" t="s">
        <v>50</v>
      </c>
      <c r="R18" s="120"/>
      <c r="S18" s="120"/>
      <c r="T18" s="116">
        <v>0</v>
      </c>
      <c r="U18" s="116"/>
    </row>
    <row r="19" spans="2:23" x14ac:dyDescent="0.3">
      <c r="B19" s="125" t="str">
        <f>B9</f>
        <v>Plano Pro Mensal</v>
      </c>
      <c r="C19" s="125"/>
      <c r="D19" s="124">
        <v>29.9</v>
      </c>
      <c r="E19" s="124"/>
      <c r="I19" s="138" t="s">
        <v>46</v>
      </c>
      <c r="J19" s="138"/>
      <c r="K19" s="138"/>
      <c r="L19" s="124">
        <v>500</v>
      </c>
      <c r="M19" s="124"/>
      <c r="N19" s="4"/>
      <c r="O19" s="4"/>
      <c r="Q19" s="120" t="s">
        <v>51</v>
      </c>
      <c r="R19" s="120"/>
      <c r="S19" s="120"/>
      <c r="T19" s="116">
        <v>3000</v>
      </c>
      <c r="U19" s="116"/>
    </row>
    <row r="20" spans="2:23" x14ac:dyDescent="0.3">
      <c r="B20" s="125"/>
      <c r="C20" s="125"/>
      <c r="D20" s="124"/>
      <c r="E20" s="124"/>
      <c r="I20" s="138" t="s">
        <v>47</v>
      </c>
      <c r="J20" s="138"/>
      <c r="K20" s="138"/>
      <c r="L20" s="124">
        <v>600</v>
      </c>
      <c r="M20" s="124"/>
      <c r="N20" s="4"/>
      <c r="O20" s="4"/>
      <c r="Q20" s="120" t="s">
        <v>52</v>
      </c>
      <c r="R20" s="120"/>
      <c r="S20" s="120"/>
      <c r="T20" s="116">
        <v>500</v>
      </c>
      <c r="U20" s="116"/>
    </row>
    <row r="21" spans="2:23" x14ac:dyDescent="0.3">
      <c r="B21" s="125" t="str">
        <f>B10</f>
        <v>Plano Pro Anual</v>
      </c>
      <c r="C21" s="125"/>
      <c r="D21" s="124">
        <v>199</v>
      </c>
      <c r="E21" s="124"/>
      <c r="I21" s="138" t="s">
        <v>48</v>
      </c>
      <c r="J21" s="138"/>
      <c r="K21" s="138"/>
      <c r="L21" s="124">
        <v>0</v>
      </c>
      <c r="M21" s="124"/>
      <c r="Q21" s="120" t="s">
        <v>53</v>
      </c>
      <c r="R21" s="120"/>
      <c r="S21" s="120"/>
      <c r="T21" s="116">
        <v>5000</v>
      </c>
      <c r="U21" s="116"/>
    </row>
    <row r="22" spans="2:23" x14ac:dyDescent="0.3">
      <c r="B22" s="125"/>
      <c r="C22" s="125"/>
      <c r="D22" s="124"/>
      <c r="E22" s="124"/>
      <c r="I22" s="119" t="s">
        <v>49</v>
      </c>
      <c r="J22" s="119"/>
      <c r="K22" s="119"/>
      <c r="L22" s="117">
        <f>SUM(L18:M21)*0.08</f>
        <v>152</v>
      </c>
      <c r="M22" s="117"/>
    </row>
    <row r="23" spans="2:23" ht="14.1" customHeight="1" x14ac:dyDescent="0.3">
      <c r="B23" s="125" t="str">
        <f>B11</f>
        <v>Parcerias / B2B</v>
      </c>
      <c r="C23" s="125"/>
      <c r="D23" s="124">
        <v>500</v>
      </c>
      <c r="E23" s="124"/>
      <c r="Q23" s="118" t="s">
        <v>80</v>
      </c>
      <c r="R23" s="118"/>
      <c r="S23" s="118"/>
      <c r="T23" s="118"/>
      <c r="U23" s="118"/>
      <c r="V23" s="140" t="s">
        <v>90</v>
      </c>
      <c r="W23" s="140"/>
    </row>
    <row r="24" spans="2:23" ht="12" customHeight="1" x14ac:dyDescent="0.3">
      <c r="B24" s="125"/>
      <c r="C24" s="125"/>
      <c r="D24" s="124"/>
      <c r="E24" s="124"/>
      <c r="I24" s="129" t="s">
        <v>71</v>
      </c>
      <c r="J24" s="129"/>
      <c r="K24" s="129"/>
      <c r="L24" s="129"/>
      <c r="M24" s="129"/>
      <c r="N24" s="132" t="s">
        <v>90</v>
      </c>
      <c r="O24" s="132"/>
      <c r="Q24" s="118"/>
      <c r="R24" s="118"/>
      <c r="S24" s="118"/>
      <c r="T24" s="118"/>
      <c r="U24" s="118"/>
      <c r="V24" s="130">
        <v>0.2</v>
      </c>
      <c r="W24" s="130"/>
    </row>
    <row r="25" spans="2:23" x14ac:dyDescent="0.3">
      <c r="B25" s="125">
        <f>B12</f>
        <v>0</v>
      </c>
      <c r="C25" s="125"/>
      <c r="D25" s="124">
        <v>0</v>
      </c>
      <c r="E25" s="124"/>
      <c r="I25" s="129"/>
      <c r="J25" s="129"/>
      <c r="K25" s="129"/>
      <c r="L25" s="129"/>
      <c r="M25" s="129"/>
      <c r="N25" s="130">
        <v>0.1</v>
      </c>
      <c r="O25" s="130"/>
      <c r="Q25" s="131" t="s">
        <v>32</v>
      </c>
      <c r="R25" s="131"/>
      <c r="S25" s="131"/>
      <c r="T25" s="131"/>
      <c r="U25" s="131"/>
    </row>
    <row r="26" spans="2:23" ht="15" customHeight="1" x14ac:dyDescent="0.3">
      <c r="B26" s="125"/>
      <c r="C26" s="125"/>
      <c r="D26" s="124"/>
      <c r="E26" s="124"/>
      <c r="I26" s="128" t="s">
        <v>32</v>
      </c>
      <c r="J26" s="128"/>
      <c r="K26" s="128"/>
      <c r="L26" s="128"/>
      <c r="M26" s="128"/>
      <c r="Q26" s="120" t="s">
        <v>81</v>
      </c>
      <c r="R26" s="120"/>
      <c r="S26" s="120"/>
      <c r="T26" s="116">
        <v>600</v>
      </c>
      <c r="U26" s="116"/>
    </row>
    <row r="27" spans="2:23" ht="15" customHeight="1" x14ac:dyDescent="0.3">
      <c r="B27" s="135">
        <f>B13</f>
        <v>0</v>
      </c>
      <c r="C27" s="135"/>
      <c r="D27" s="124">
        <v>0</v>
      </c>
      <c r="E27" s="124"/>
      <c r="I27" s="120" t="s">
        <v>0</v>
      </c>
      <c r="J27" s="127"/>
      <c r="K27" s="127"/>
      <c r="L27" s="124">
        <v>0</v>
      </c>
      <c r="M27" s="124"/>
      <c r="Q27" s="138" t="s">
        <v>82</v>
      </c>
      <c r="R27" s="138"/>
      <c r="S27" s="138"/>
      <c r="T27" s="116">
        <v>200</v>
      </c>
      <c r="U27" s="116"/>
    </row>
    <row r="28" spans="2:23" ht="15" customHeight="1" x14ac:dyDescent="0.3">
      <c r="B28" s="135"/>
      <c r="C28" s="135"/>
      <c r="D28" s="124"/>
      <c r="E28" s="124"/>
      <c r="I28" s="120" t="s">
        <v>54</v>
      </c>
      <c r="J28" s="127"/>
      <c r="K28" s="127"/>
      <c r="L28" s="124">
        <v>0</v>
      </c>
      <c r="M28" s="124"/>
      <c r="Q28" s="138" t="s">
        <v>83</v>
      </c>
      <c r="R28" s="138"/>
      <c r="S28" s="138"/>
      <c r="T28" s="116">
        <v>300</v>
      </c>
      <c r="U28" s="116"/>
    </row>
    <row r="29" spans="2:23" x14ac:dyDescent="0.3">
      <c r="I29" s="120" t="s">
        <v>55</v>
      </c>
      <c r="J29" s="127"/>
      <c r="K29" s="127"/>
      <c r="L29" s="124">
        <v>150</v>
      </c>
      <c r="M29" s="124"/>
      <c r="Q29" s="138" t="s">
        <v>106</v>
      </c>
      <c r="R29" s="138"/>
      <c r="S29" s="138"/>
      <c r="T29" s="116">
        <v>400</v>
      </c>
      <c r="U29" s="116"/>
    </row>
    <row r="30" spans="2:23" ht="15" customHeight="1" x14ac:dyDescent="0.3">
      <c r="B30" s="139" t="s">
        <v>105</v>
      </c>
      <c r="C30" s="139"/>
      <c r="D30" s="139"/>
      <c r="E30" s="139"/>
      <c r="I30" s="120" t="s">
        <v>56</v>
      </c>
      <c r="J30" s="127"/>
      <c r="K30" s="127"/>
      <c r="L30" s="124">
        <v>200</v>
      </c>
      <c r="M30" s="124"/>
      <c r="Q30" s="119" t="s">
        <v>49</v>
      </c>
      <c r="R30" s="119"/>
      <c r="S30" s="119"/>
      <c r="T30" s="117">
        <f>SUM(T26:U29)*0.08</f>
        <v>120</v>
      </c>
      <c r="U30" s="117"/>
    </row>
    <row r="31" spans="2:23" ht="14.1" customHeight="1" x14ac:dyDescent="0.3">
      <c r="B31" s="139"/>
      <c r="C31" s="139"/>
      <c r="D31" s="139"/>
      <c r="E31" s="139"/>
      <c r="I31" s="120" t="s">
        <v>57</v>
      </c>
      <c r="J31" s="127"/>
      <c r="K31" s="127"/>
      <c r="L31" s="124">
        <v>0</v>
      </c>
      <c r="M31" s="124"/>
    </row>
    <row r="32" spans="2:23" ht="15" customHeight="1" x14ac:dyDescent="0.3">
      <c r="B32" s="125" t="str">
        <f>B8</f>
        <v>Plano Free (conversões)</v>
      </c>
      <c r="C32" s="125"/>
      <c r="D32" s="124">
        <v>0.5</v>
      </c>
      <c r="E32" s="124"/>
      <c r="I32" s="120" t="s">
        <v>58</v>
      </c>
      <c r="J32" s="127"/>
      <c r="K32" s="127"/>
      <c r="L32" s="124">
        <v>0</v>
      </c>
      <c r="M32" s="124"/>
      <c r="Q32" s="141" t="s">
        <v>95</v>
      </c>
      <c r="R32" s="141"/>
      <c r="S32" s="141"/>
      <c r="T32" s="141"/>
      <c r="U32" s="141"/>
    </row>
    <row r="33" spans="2:21" x14ac:dyDescent="0.3">
      <c r="B33" s="125"/>
      <c r="C33" s="125"/>
      <c r="D33" s="124"/>
      <c r="E33" s="124"/>
      <c r="I33" s="120" t="s">
        <v>59</v>
      </c>
      <c r="J33" s="127"/>
      <c r="K33" s="127"/>
      <c r="L33" s="124">
        <v>0</v>
      </c>
      <c r="M33" s="124"/>
      <c r="Q33" s="141"/>
      <c r="R33" s="141"/>
      <c r="S33" s="141"/>
      <c r="T33" s="141"/>
      <c r="U33" s="141"/>
    </row>
    <row r="34" spans="2:21" ht="15" customHeight="1" x14ac:dyDescent="0.3">
      <c r="B34" s="125" t="str">
        <f>B9</f>
        <v>Plano Pro Mensal</v>
      </c>
      <c r="C34" s="125"/>
      <c r="D34" s="124">
        <v>2</v>
      </c>
      <c r="E34" s="124"/>
      <c r="I34" s="120" t="s">
        <v>60</v>
      </c>
      <c r="J34" s="127"/>
      <c r="K34" s="127"/>
      <c r="L34" s="124">
        <v>100</v>
      </c>
      <c r="M34" s="124"/>
      <c r="Q34" s="126" t="s">
        <v>84</v>
      </c>
      <c r="R34" s="126"/>
      <c r="S34" s="126"/>
      <c r="T34" s="142">
        <v>0.06</v>
      </c>
      <c r="U34" s="142"/>
    </row>
    <row r="35" spans="2:21" x14ac:dyDescent="0.3">
      <c r="B35" s="125"/>
      <c r="C35" s="125"/>
      <c r="D35" s="124"/>
      <c r="E35" s="124"/>
      <c r="I35" s="120" t="s">
        <v>61</v>
      </c>
      <c r="J35" s="127"/>
      <c r="K35" s="127"/>
      <c r="L35" s="124">
        <v>800</v>
      </c>
      <c r="M35" s="124"/>
      <c r="Q35" s="126" t="s">
        <v>85</v>
      </c>
      <c r="R35" s="126"/>
      <c r="S35" s="126"/>
      <c r="T35" s="143">
        <v>0.2</v>
      </c>
      <c r="U35" s="143"/>
    </row>
    <row r="36" spans="2:21" x14ac:dyDescent="0.3">
      <c r="B36" s="125" t="str">
        <f>B10</f>
        <v>Plano Pro Anual</v>
      </c>
      <c r="C36" s="125"/>
      <c r="D36" s="124">
        <v>1.5</v>
      </c>
      <c r="E36" s="124"/>
      <c r="I36" s="120" t="s">
        <v>62</v>
      </c>
      <c r="J36" s="127"/>
      <c r="K36" s="127"/>
      <c r="L36" s="124">
        <v>0</v>
      </c>
      <c r="M36" s="124"/>
    </row>
    <row r="37" spans="2:21" x14ac:dyDescent="0.3">
      <c r="B37" s="125"/>
      <c r="C37" s="125"/>
      <c r="D37" s="124"/>
      <c r="E37" s="124"/>
      <c r="I37" s="120" t="s">
        <v>63</v>
      </c>
      <c r="J37" s="127"/>
      <c r="K37" s="127"/>
      <c r="L37" s="124">
        <v>50</v>
      </c>
      <c r="M37" s="124"/>
    </row>
    <row r="38" spans="2:21" x14ac:dyDescent="0.3">
      <c r="B38" s="125" t="str">
        <f>B11</f>
        <v>Parcerias / B2B</v>
      </c>
      <c r="C38" s="125"/>
      <c r="D38" s="124">
        <v>5</v>
      </c>
      <c r="E38" s="124"/>
      <c r="I38" s="120" t="s">
        <v>64</v>
      </c>
      <c r="J38" s="127"/>
      <c r="K38" s="127"/>
      <c r="L38" s="124">
        <v>0</v>
      </c>
      <c r="M38" s="124"/>
    </row>
    <row r="39" spans="2:21" x14ac:dyDescent="0.3">
      <c r="B39" s="125"/>
      <c r="C39" s="125"/>
      <c r="D39" s="124"/>
      <c r="E39" s="124"/>
      <c r="I39" s="120" t="s">
        <v>65</v>
      </c>
      <c r="J39" s="127"/>
      <c r="K39" s="127"/>
      <c r="L39" s="124">
        <v>50</v>
      </c>
      <c r="M39" s="124"/>
    </row>
    <row r="40" spans="2:21" x14ac:dyDescent="0.3">
      <c r="B40" s="125">
        <f>B12</f>
        <v>0</v>
      </c>
      <c r="C40" s="125"/>
      <c r="D40" s="124">
        <v>0</v>
      </c>
      <c r="E40" s="124"/>
      <c r="I40" s="120" t="s">
        <v>66</v>
      </c>
      <c r="J40" s="127"/>
      <c r="K40" s="127"/>
      <c r="L40" s="124">
        <v>300</v>
      </c>
      <c r="M40" s="124"/>
    </row>
    <row r="41" spans="2:21" x14ac:dyDescent="0.3">
      <c r="B41" s="125"/>
      <c r="C41" s="125"/>
      <c r="D41" s="124"/>
      <c r="E41" s="124"/>
      <c r="I41" s="126" t="s">
        <v>49</v>
      </c>
      <c r="J41" s="126"/>
      <c r="K41" s="126"/>
      <c r="L41" s="117">
        <f>SUM(L27:M40)*0.08</f>
        <v>132</v>
      </c>
      <c r="M41" s="117"/>
    </row>
    <row r="42" spans="2:21" x14ac:dyDescent="0.3">
      <c r="B42" s="125">
        <f>B13</f>
        <v>0</v>
      </c>
      <c r="C42" s="125"/>
      <c r="D42" s="124">
        <v>0</v>
      </c>
      <c r="E42" s="124"/>
    </row>
    <row r="43" spans="2:21" x14ac:dyDescent="0.3">
      <c r="B43" s="125"/>
      <c r="C43" s="125"/>
      <c r="D43" s="124"/>
      <c r="E43" s="124"/>
    </row>
  </sheetData>
  <sheetProtection sheet="1" objects="1" scenarios="1" selectLockedCells="1"/>
  <mergeCells count="118">
    <mergeCell ref="V23:W23"/>
    <mergeCell ref="V24:W24"/>
    <mergeCell ref="I24:M25"/>
    <mergeCell ref="N24:O24"/>
    <mergeCell ref="Q34:S34"/>
    <mergeCell ref="Q35:S35"/>
    <mergeCell ref="Q32:U33"/>
    <mergeCell ref="T34:U34"/>
    <mergeCell ref="T35:U35"/>
    <mergeCell ref="Q27:S27"/>
    <mergeCell ref="Q28:S28"/>
    <mergeCell ref="Q29:S29"/>
    <mergeCell ref="D40:E41"/>
    <mergeCell ref="B42:C43"/>
    <mergeCell ref="D42:E43"/>
    <mergeCell ref="Q21:S21"/>
    <mergeCell ref="T21:U21"/>
    <mergeCell ref="I21:K21"/>
    <mergeCell ref="I20:K20"/>
    <mergeCell ref="I19:K19"/>
    <mergeCell ref="I18:K18"/>
    <mergeCell ref="N25:O25"/>
    <mergeCell ref="B30:E31"/>
    <mergeCell ref="L32:M32"/>
    <mergeCell ref="L38:M38"/>
    <mergeCell ref="B23:C24"/>
    <mergeCell ref="D23:E24"/>
    <mergeCell ref="B25:C26"/>
    <mergeCell ref="D25:E26"/>
    <mergeCell ref="B34:C35"/>
    <mergeCell ref="D34:E35"/>
    <mergeCell ref="B36:C37"/>
    <mergeCell ref="D36:E37"/>
    <mergeCell ref="B38:C39"/>
    <mergeCell ref="D38:E39"/>
    <mergeCell ref="B40:C41"/>
    <mergeCell ref="B32:C33"/>
    <mergeCell ref="D32:E33"/>
    <mergeCell ref="E7:E13"/>
    <mergeCell ref="F6:I6"/>
    <mergeCell ref="J6:M6"/>
    <mergeCell ref="N6:Q6"/>
    <mergeCell ref="L21:M21"/>
    <mergeCell ref="B27:C28"/>
    <mergeCell ref="D27:E28"/>
    <mergeCell ref="B7:D7"/>
    <mergeCell ref="B8:D8"/>
    <mergeCell ref="L18:M18"/>
    <mergeCell ref="L19:M19"/>
    <mergeCell ref="L20:M20"/>
    <mergeCell ref="Q15:U16"/>
    <mergeCell ref="Q17:U17"/>
    <mergeCell ref="T18:U18"/>
    <mergeCell ref="T19:U19"/>
    <mergeCell ref="T20:U20"/>
    <mergeCell ref="B13:D13"/>
    <mergeCell ref="B21:C22"/>
    <mergeCell ref="D21:E22"/>
    <mergeCell ref="F16:G16"/>
    <mergeCell ref="F15:G15"/>
    <mergeCell ref="L40:M40"/>
    <mergeCell ref="I15:M16"/>
    <mergeCell ref="Q19:S19"/>
    <mergeCell ref="Q20:S20"/>
    <mergeCell ref="I17:M17"/>
    <mergeCell ref="L39:M39"/>
    <mergeCell ref="L28:M28"/>
    <mergeCell ref="L29:M29"/>
    <mergeCell ref="L30:M30"/>
    <mergeCell ref="L31:M31"/>
    <mergeCell ref="N16:O16"/>
    <mergeCell ref="Q25:U25"/>
    <mergeCell ref="N15:O15"/>
    <mergeCell ref="I41:K41"/>
    <mergeCell ref="I29:K29"/>
    <mergeCell ref="I30:K30"/>
    <mergeCell ref="I31:K31"/>
    <mergeCell ref="I32:K32"/>
    <mergeCell ref="I33:K33"/>
    <mergeCell ref="I34:K34"/>
    <mergeCell ref="I22:K22"/>
    <mergeCell ref="I27:K27"/>
    <mergeCell ref="I28:K28"/>
    <mergeCell ref="I35:K35"/>
    <mergeCell ref="I36:K36"/>
    <mergeCell ref="I37:K37"/>
    <mergeCell ref="I38:K38"/>
    <mergeCell ref="I39:K39"/>
    <mergeCell ref="I40:K40"/>
    <mergeCell ref="I26:M26"/>
    <mergeCell ref="L27:M27"/>
    <mergeCell ref="L41:M41"/>
    <mergeCell ref="L33:M33"/>
    <mergeCell ref="L34:M34"/>
    <mergeCell ref="L35:M35"/>
    <mergeCell ref="L36:M36"/>
    <mergeCell ref="L37:M37"/>
    <mergeCell ref="B2:T3"/>
    <mergeCell ref="T29:U29"/>
    <mergeCell ref="T30:U30"/>
    <mergeCell ref="Q23:U24"/>
    <mergeCell ref="T26:U26"/>
    <mergeCell ref="T27:U27"/>
    <mergeCell ref="T28:U28"/>
    <mergeCell ref="Q30:S30"/>
    <mergeCell ref="Q26:S26"/>
    <mergeCell ref="Q18:S18"/>
    <mergeCell ref="F5:Q5"/>
    <mergeCell ref="L22:M22"/>
    <mergeCell ref="B11:D11"/>
    <mergeCell ref="B12:D12"/>
    <mergeCell ref="B15:E16"/>
    <mergeCell ref="D17:E18"/>
    <mergeCell ref="B17:C18"/>
    <mergeCell ref="B19:C20"/>
    <mergeCell ref="D19:E20"/>
    <mergeCell ref="B9:D9"/>
    <mergeCell ref="B10:D10"/>
  </mergeCells>
  <pageMargins left="0.511811024" right="0.511811024" top="0.78740157499999996" bottom="0.78740157499999996" header="0.31496062000000002" footer="0.31496062000000002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5"/>
  <sheetViews>
    <sheetView zoomScale="95" zoomScaleNormal="95" zoomScalePageLayoutView="95" workbookViewId="0">
      <selection activeCell="H22" sqref="H22:O24"/>
    </sheetView>
  </sheetViews>
  <sheetFormatPr defaultColWidth="8.85546875" defaultRowHeight="15" x14ac:dyDescent="0.3"/>
  <cols>
    <col min="1" max="1" width="2.85546875" style="3" customWidth="1"/>
    <col min="2" max="2" width="22.28515625" style="3" customWidth="1"/>
    <col min="3" max="3" width="16.7109375" style="3" customWidth="1"/>
    <col min="4" max="15" width="12.85546875" style="3" customWidth="1"/>
    <col min="16" max="16384" width="8.85546875" style="3"/>
  </cols>
  <sheetData>
    <row r="1" spans="2:15" ht="6.75" customHeight="1" x14ac:dyDescent="0.3"/>
    <row r="2" spans="2:15" ht="12" customHeight="1" x14ac:dyDescent="0.3">
      <c r="B2" s="145" t="s">
        <v>73</v>
      </c>
      <c r="C2" s="145"/>
      <c r="D2" s="145"/>
      <c r="E2" s="145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2:15" ht="23.25" customHeight="1" x14ac:dyDescent="0.3">
      <c r="B3" s="145"/>
      <c r="C3" s="145"/>
      <c r="D3" s="145"/>
      <c r="E3" s="145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2:15" s="8" customFormat="1" ht="24.95" customHeight="1" x14ac:dyDescent="0.25">
      <c r="B4" s="13" t="s">
        <v>74</v>
      </c>
      <c r="C4" s="13" t="s">
        <v>12</v>
      </c>
      <c r="D4" s="13" t="s">
        <v>91</v>
      </c>
      <c r="E4" s="13" t="s">
        <v>92</v>
      </c>
      <c r="F4" s="12" t="s">
        <v>89</v>
      </c>
    </row>
    <row r="5" spans="2:15" x14ac:dyDescent="0.3">
      <c r="B5" s="10" t="s">
        <v>112</v>
      </c>
      <c r="C5" s="11" t="s">
        <v>9</v>
      </c>
      <c r="D5" s="11">
        <v>800</v>
      </c>
      <c r="E5" s="14">
        <f t="shared" ref="E5:E14" si="0">IF(C5=$B$32,D5*$C$32,IF(C5=$B$33,D5*$C$33,IF(C5=$B$34,D5*$C$34,IF(C5=$B$35,D5*$C$35))))</f>
        <v>880.00000000000011</v>
      </c>
      <c r="F5" s="113">
        <v>0.1</v>
      </c>
    </row>
    <row r="6" spans="2:15" x14ac:dyDescent="0.3">
      <c r="B6" s="10" t="s">
        <v>113</v>
      </c>
      <c r="C6" s="11" t="s">
        <v>9</v>
      </c>
      <c r="D6" s="11">
        <v>800</v>
      </c>
      <c r="E6" s="14">
        <f t="shared" si="0"/>
        <v>880.00000000000011</v>
      </c>
    </row>
    <row r="7" spans="2:15" x14ac:dyDescent="0.3">
      <c r="B7" s="10" t="s">
        <v>114</v>
      </c>
      <c r="C7" s="11" t="s">
        <v>9</v>
      </c>
      <c r="D7" s="11">
        <v>800</v>
      </c>
      <c r="E7" s="14">
        <f t="shared" si="0"/>
        <v>880.00000000000011</v>
      </c>
    </row>
    <row r="8" spans="2:15" x14ac:dyDescent="0.3">
      <c r="B8" s="10" t="s">
        <v>111</v>
      </c>
      <c r="C8" s="11" t="s">
        <v>9</v>
      </c>
      <c r="D8" s="11">
        <v>800</v>
      </c>
      <c r="E8" s="14">
        <f t="shared" si="0"/>
        <v>880.00000000000011</v>
      </c>
    </row>
    <row r="9" spans="2:15" x14ac:dyDescent="0.3">
      <c r="B9" s="10" t="s">
        <v>115</v>
      </c>
      <c r="C9" s="11" t="s">
        <v>9</v>
      </c>
      <c r="D9" s="11">
        <v>800</v>
      </c>
      <c r="E9" s="14">
        <f t="shared" si="0"/>
        <v>880.00000000000011</v>
      </c>
    </row>
    <row r="10" spans="2:15" x14ac:dyDescent="0.3">
      <c r="B10" s="10" t="s">
        <v>116</v>
      </c>
      <c r="C10" s="11" t="s">
        <v>9</v>
      </c>
      <c r="D10" s="11">
        <v>800</v>
      </c>
      <c r="E10" s="14">
        <f t="shared" si="0"/>
        <v>880.00000000000011</v>
      </c>
    </row>
    <row r="11" spans="2:15" x14ac:dyDescent="0.3">
      <c r="B11" s="10"/>
      <c r="C11" s="11"/>
      <c r="D11" s="11"/>
      <c r="E11" s="14" t="b">
        <f t="shared" si="0"/>
        <v>0</v>
      </c>
    </row>
    <row r="12" spans="2:15" x14ac:dyDescent="0.3">
      <c r="B12" s="10"/>
      <c r="C12" s="11"/>
      <c r="D12" s="11">
        <v>0</v>
      </c>
      <c r="E12" s="14" t="b">
        <f t="shared" si="0"/>
        <v>0</v>
      </c>
    </row>
    <row r="13" spans="2:15" x14ac:dyDescent="0.3">
      <c r="B13" s="10"/>
      <c r="C13" s="11"/>
      <c r="D13" s="11">
        <v>0</v>
      </c>
      <c r="E13" s="14" t="b">
        <f t="shared" si="0"/>
        <v>0</v>
      </c>
    </row>
    <row r="14" spans="2:15" x14ac:dyDescent="0.3">
      <c r="B14" s="10"/>
      <c r="C14" s="11"/>
      <c r="D14" s="11">
        <v>0</v>
      </c>
      <c r="E14" s="14" t="b">
        <f t="shared" si="0"/>
        <v>0</v>
      </c>
    </row>
    <row r="16" spans="2:15" x14ac:dyDescent="0.3">
      <c r="B16" s="5"/>
      <c r="C16" s="6"/>
    </row>
    <row r="17" spans="2:15" x14ac:dyDescent="0.3">
      <c r="B17" s="5"/>
      <c r="C17" s="9"/>
      <c r="D17" s="146" t="s">
        <v>34</v>
      </c>
      <c r="E17" s="146"/>
      <c r="F17" s="146"/>
      <c r="G17" s="146"/>
      <c r="H17" s="146" t="s">
        <v>35</v>
      </c>
      <c r="I17" s="146"/>
      <c r="J17" s="146"/>
      <c r="K17" s="146"/>
      <c r="L17" s="146" t="s">
        <v>36</v>
      </c>
      <c r="M17" s="146"/>
      <c r="N17" s="146"/>
      <c r="O17" s="146"/>
    </row>
    <row r="18" spans="2:15" ht="17.100000000000001" customHeight="1" x14ac:dyDescent="0.3">
      <c r="B18" s="73" t="s">
        <v>74</v>
      </c>
      <c r="C18" s="73" t="s">
        <v>12</v>
      </c>
      <c r="D18" s="74" t="s">
        <v>5</v>
      </c>
      <c r="E18" s="74" t="s">
        <v>6</v>
      </c>
      <c r="F18" s="74" t="s">
        <v>7</v>
      </c>
      <c r="G18" s="74" t="s">
        <v>8</v>
      </c>
      <c r="H18" s="74" t="s">
        <v>5</v>
      </c>
      <c r="I18" s="74" t="s">
        <v>6</v>
      </c>
      <c r="J18" s="74" t="s">
        <v>7</v>
      </c>
      <c r="K18" s="74" t="s">
        <v>8</v>
      </c>
      <c r="L18" s="74" t="s">
        <v>5</v>
      </c>
      <c r="M18" s="74" t="s">
        <v>6</v>
      </c>
      <c r="N18" s="74" t="s">
        <v>7</v>
      </c>
      <c r="O18" s="74" t="s">
        <v>8</v>
      </c>
    </row>
    <row r="19" spans="2:15" x14ac:dyDescent="0.3">
      <c r="B19" s="15" t="str">
        <f t="shared" ref="B19:C21" si="1">B5</f>
        <v>CEO / Estratégia</v>
      </c>
      <c r="C19" s="14" t="str">
        <f t="shared" si="1"/>
        <v>Sócio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11">
        <v>1</v>
      </c>
      <c r="J19" s="11">
        <v>1</v>
      </c>
      <c r="K19" s="11">
        <v>1</v>
      </c>
      <c r="L19" s="11">
        <v>1</v>
      </c>
      <c r="M19" s="11">
        <v>1</v>
      </c>
      <c r="N19" s="11">
        <v>1</v>
      </c>
      <c r="O19" s="11">
        <v>1</v>
      </c>
    </row>
    <row r="20" spans="2:15" x14ac:dyDescent="0.3">
      <c r="B20" s="15" t="str">
        <f t="shared" si="1"/>
        <v>CTO / Arquitetura</v>
      </c>
      <c r="C20" s="14" t="str">
        <f t="shared" si="1"/>
        <v>Sócio</v>
      </c>
      <c r="D20" s="11">
        <v>1</v>
      </c>
      <c r="E20" s="11">
        <v>1</v>
      </c>
      <c r="F20" s="11">
        <v>1</v>
      </c>
      <c r="G20" s="11">
        <v>1</v>
      </c>
      <c r="H20" s="11">
        <v>1</v>
      </c>
      <c r="I20" s="11">
        <v>1</v>
      </c>
      <c r="J20" s="11">
        <v>1</v>
      </c>
      <c r="K20" s="11">
        <v>1</v>
      </c>
      <c r="L20" s="11">
        <v>1</v>
      </c>
      <c r="M20" s="11">
        <v>1</v>
      </c>
      <c r="N20" s="11">
        <v>1</v>
      </c>
      <c r="O20" s="11">
        <v>1</v>
      </c>
    </row>
    <row r="21" spans="2:15" x14ac:dyDescent="0.3">
      <c r="B21" s="15" t="str">
        <f t="shared" si="1"/>
        <v>Dev Full-Stack</v>
      </c>
      <c r="C21" s="14" t="str">
        <f t="shared" si="1"/>
        <v>Sócio</v>
      </c>
      <c r="D21" s="11">
        <v>1</v>
      </c>
      <c r="E21" s="11">
        <v>1</v>
      </c>
      <c r="F21" s="11">
        <v>1</v>
      </c>
      <c r="G21" s="11">
        <v>1</v>
      </c>
      <c r="H21" s="11">
        <v>1</v>
      </c>
      <c r="I21" s="11">
        <v>1</v>
      </c>
      <c r="J21" s="11">
        <v>1</v>
      </c>
      <c r="K21" s="11">
        <v>1</v>
      </c>
      <c r="L21" s="11">
        <v>1</v>
      </c>
      <c r="M21" s="11">
        <v>1</v>
      </c>
      <c r="N21" s="11">
        <v>1</v>
      </c>
      <c r="O21" s="11">
        <v>1</v>
      </c>
    </row>
    <row r="22" spans="2:15" x14ac:dyDescent="0.3">
      <c r="B22" s="15" t="str">
        <f t="shared" ref="B22:B28" si="2">B8</f>
        <v>Designer UX/UI</v>
      </c>
      <c r="C22" s="14" t="str">
        <f t="shared" ref="C22:C28" si="3">C8</f>
        <v>Sócio</v>
      </c>
      <c r="D22" s="11">
        <v>0</v>
      </c>
      <c r="E22" s="11">
        <v>0</v>
      </c>
      <c r="F22" s="11">
        <v>0</v>
      </c>
      <c r="G22" s="11">
        <v>0</v>
      </c>
      <c r="H22" s="11">
        <v>1</v>
      </c>
      <c r="I22" s="11">
        <v>1</v>
      </c>
      <c r="J22" s="11">
        <v>1</v>
      </c>
      <c r="K22" s="11">
        <v>1</v>
      </c>
      <c r="L22" s="11">
        <v>1</v>
      </c>
      <c r="M22" s="11">
        <v>1</v>
      </c>
      <c r="N22" s="11">
        <v>1</v>
      </c>
      <c r="O22" s="11">
        <v>1</v>
      </c>
    </row>
    <row r="23" spans="2:15" x14ac:dyDescent="0.3">
      <c r="B23" s="15" t="str">
        <f t="shared" si="2"/>
        <v>Marketing &amp; Growth</v>
      </c>
      <c r="C23" s="14" t="str">
        <f t="shared" si="3"/>
        <v>Sócio</v>
      </c>
      <c r="D23" s="11">
        <v>0</v>
      </c>
      <c r="E23" s="11">
        <v>0</v>
      </c>
      <c r="F23" s="11">
        <v>0</v>
      </c>
      <c r="G23" s="11">
        <v>0</v>
      </c>
      <c r="H23" s="11">
        <v>1</v>
      </c>
      <c r="I23" s="11">
        <v>1</v>
      </c>
      <c r="J23" s="11">
        <v>1</v>
      </c>
      <c r="K23" s="11">
        <v>1</v>
      </c>
      <c r="L23" s="11">
        <v>1</v>
      </c>
      <c r="M23" s="11">
        <v>1</v>
      </c>
      <c r="N23" s="11">
        <v>1</v>
      </c>
      <c r="O23" s="11">
        <v>1</v>
      </c>
    </row>
    <row r="24" spans="2:15" x14ac:dyDescent="0.3">
      <c r="B24" s="15" t="str">
        <f t="shared" si="2"/>
        <v>Produto &amp; Operações</v>
      </c>
      <c r="C24" s="14" t="str">
        <f t="shared" si="3"/>
        <v>Sócio</v>
      </c>
      <c r="D24" s="11">
        <v>0</v>
      </c>
      <c r="E24" s="11">
        <v>0</v>
      </c>
      <c r="F24" s="11">
        <v>0</v>
      </c>
      <c r="G24" s="11">
        <v>0</v>
      </c>
      <c r="H24" s="11">
        <v>1</v>
      </c>
      <c r="I24" s="11">
        <v>1</v>
      </c>
      <c r="J24" s="11">
        <v>1</v>
      </c>
      <c r="K24" s="11">
        <v>1</v>
      </c>
      <c r="L24" s="11">
        <v>1</v>
      </c>
      <c r="M24" s="11">
        <v>1</v>
      </c>
      <c r="N24" s="11">
        <v>1</v>
      </c>
      <c r="O24" s="11">
        <v>1</v>
      </c>
    </row>
    <row r="25" spans="2:15" x14ac:dyDescent="0.3">
      <c r="B25" s="15">
        <f t="shared" si="2"/>
        <v>0</v>
      </c>
      <c r="C25" s="14">
        <f t="shared" si="3"/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</row>
    <row r="26" spans="2:15" x14ac:dyDescent="0.3">
      <c r="B26" s="15">
        <f t="shared" si="2"/>
        <v>0</v>
      </c>
      <c r="C26" s="14">
        <f t="shared" si="3"/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</row>
    <row r="27" spans="2:15" x14ac:dyDescent="0.3">
      <c r="B27" s="15">
        <f t="shared" si="2"/>
        <v>0</v>
      </c>
      <c r="C27" s="14">
        <f t="shared" si="3"/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</row>
    <row r="28" spans="2:15" x14ac:dyDescent="0.3">
      <c r="B28" s="15">
        <f t="shared" si="2"/>
        <v>0</v>
      </c>
      <c r="C28" s="14">
        <f t="shared" si="3"/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</row>
    <row r="29" spans="2:15" x14ac:dyDescent="0.3">
      <c r="B29" s="7"/>
      <c r="C29" s="16" t="s">
        <v>88</v>
      </c>
      <c r="D29" s="17">
        <f>SUM(D19:D28)</f>
        <v>3</v>
      </c>
      <c r="E29" s="17">
        <f t="shared" ref="E29:O29" si="4">SUM(E19:E28)</f>
        <v>3</v>
      </c>
      <c r="F29" s="17">
        <f t="shared" si="4"/>
        <v>3</v>
      </c>
      <c r="G29" s="17">
        <f t="shared" si="4"/>
        <v>3</v>
      </c>
      <c r="H29" s="17">
        <f t="shared" si="4"/>
        <v>6</v>
      </c>
      <c r="I29" s="17">
        <f t="shared" si="4"/>
        <v>6</v>
      </c>
      <c r="J29" s="17">
        <f t="shared" si="4"/>
        <v>6</v>
      </c>
      <c r="K29" s="17">
        <f t="shared" si="4"/>
        <v>6</v>
      </c>
      <c r="L29" s="17">
        <f t="shared" si="4"/>
        <v>6</v>
      </c>
      <c r="M29" s="17">
        <f t="shared" si="4"/>
        <v>6</v>
      </c>
      <c r="N29" s="17">
        <f t="shared" si="4"/>
        <v>6</v>
      </c>
      <c r="O29" s="17">
        <f t="shared" si="4"/>
        <v>6</v>
      </c>
    </row>
    <row r="31" spans="2:15" x14ac:dyDescent="0.3">
      <c r="B31" s="144" t="s">
        <v>87</v>
      </c>
      <c r="C31" s="144"/>
    </row>
    <row r="32" spans="2:15" x14ac:dyDescent="0.3">
      <c r="B32" s="18" t="s">
        <v>4</v>
      </c>
      <c r="C32" s="19">
        <v>1.4</v>
      </c>
    </row>
    <row r="33" spans="2:3" x14ac:dyDescent="0.3">
      <c r="B33" s="18" t="s">
        <v>9</v>
      </c>
      <c r="C33" s="19">
        <v>1.1000000000000001</v>
      </c>
    </row>
    <row r="34" spans="2:3" x14ac:dyDescent="0.3">
      <c r="B34" s="18" t="s">
        <v>11</v>
      </c>
      <c r="C34" s="19">
        <v>1</v>
      </c>
    </row>
    <row r="35" spans="2:3" x14ac:dyDescent="0.3">
      <c r="B35" s="18" t="s">
        <v>10</v>
      </c>
      <c r="C35" s="19">
        <v>1</v>
      </c>
    </row>
  </sheetData>
  <sheetProtection sheet="1" objects="1" scenarios="1" selectLockedCells="1"/>
  <mergeCells count="5">
    <mergeCell ref="B31:C31"/>
    <mergeCell ref="B2:E3"/>
    <mergeCell ref="D17:G17"/>
    <mergeCell ref="H17:K17"/>
    <mergeCell ref="L17:O17"/>
  </mergeCells>
  <dataValidations count="1">
    <dataValidation type="list" allowBlank="1" showInputMessage="1" showErrorMessage="1" errorTitle="Clique para selecionar uma opção" error="Não é possível preencher a célula com qualquer valor, você precisa clicar na célula e selecionar uma das opções." promptTitle="Selecione uma das opções" sqref="C5:C14" xr:uid="{00000000-0002-0000-0100-000000000000}">
      <formula1>$B$32:$B$35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00"/>
  <sheetViews>
    <sheetView zoomScale="90" zoomScaleNormal="90" zoomScalePageLayoutView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5" sqref="A5"/>
    </sheetView>
  </sheetViews>
  <sheetFormatPr defaultColWidth="8.85546875" defaultRowHeight="15" outlineLevelRow="1" x14ac:dyDescent="0.25"/>
  <cols>
    <col min="1" max="1" width="4.140625" style="23" customWidth="1"/>
    <col min="2" max="2" width="24.140625" style="28" customWidth="1"/>
    <col min="3" max="3" width="8" style="29" customWidth="1"/>
    <col min="4" max="4" width="12.7109375" style="23" customWidth="1"/>
    <col min="5" max="6" width="12.42578125" style="23" customWidth="1"/>
    <col min="7" max="11" width="12" style="23" bestFit="1" customWidth="1"/>
    <col min="12" max="17" width="13" style="23" bestFit="1" customWidth="1"/>
    <col min="18" max="18" width="5.28515625" style="23" customWidth="1"/>
    <col min="19" max="21" width="18.42578125" style="23" customWidth="1"/>
    <col min="22" max="16384" width="8.85546875" style="23"/>
  </cols>
  <sheetData>
    <row r="1" spans="2:21" ht="6" customHeight="1" x14ac:dyDescent="0.25">
      <c r="B1" s="34"/>
      <c r="C1" s="35"/>
      <c r="D1" s="36"/>
      <c r="E1" s="36"/>
      <c r="F1" s="36"/>
      <c r="G1" s="36"/>
      <c r="H1" s="36"/>
      <c r="I1" s="22"/>
      <c r="J1" s="36"/>
      <c r="K1" s="36"/>
      <c r="L1" s="36"/>
      <c r="M1" s="36"/>
      <c r="N1" s="36"/>
    </row>
    <row r="2" spans="2:21" ht="36" customHeight="1" x14ac:dyDescent="0.25">
      <c r="B2" s="115" t="s">
        <v>96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</row>
    <row r="3" spans="2:2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8"/>
    </row>
    <row r="4" spans="2:21" ht="18" x14ac:dyDescent="0.25">
      <c r="B4" s="37"/>
      <c r="C4" s="37"/>
      <c r="D4" s="37"/>
      <c r="E4" s="109"/>
      <c r="F4" s="155" t="s">
        <v>1</v>
      </c>
      <c r="G4" s="155"/>
      <c r="H4" s="155"/>
      <c r="I4" s="155"/>
      <c r="J4" s="155" t="s">
        <v>2</v>
      </c>
      <c r="K4" s="155"/>
      <c r="L4" s="155"/>
      <c r="M4" s="155"/>
      <c r="N4" s="155" t="s">
        <v>3</v>
      </c>
      <c r="O4" s="155"/>
      <c r="P4" s="155"/>
      <c r="Q4" s="155"/>
      <c r="R4" s="110"/>
      <c r="S4" s="110"/>
      <c r="T4" s="110"/>
      <c r="U4" s="110"/>
    </row>
    <row r="5" spans="2:21" ht="18" x14ac:dyDescent="0.25">
      <c r="B5" s="37"/>
      <c r="C5" s="37"/>
      <c r="D5" s="37"/>
      <c r="E5" s="111" t="s">
        <v>94</v>
      </c>
      <c r="F5" s="111" t="s">
        <v>5</v>
      </c>
      <c r="G5" s="111" t="s">
        <v>6</v>
      </c>
      <c r="H5" s="111" t="s">
        <v>7</v>
      </c>
      <c r="I5" s="111" t="s">
        <v>8</v>
      </c>
      <c r="J5" s="111" t="s">
        <v>5</v>
      </c>
      <c r="K5" s="111" t="s">
        <v>6</v>
      </c>
      <c r="L5" s="111" t="s">
        <v>7</v>
      </c>
      <c r="M5" s="111" t="s">
        <v>8</v>
      </c>
      <c r="N5" s="111" t="s">
        <v>5</v>
      </c>
      <c r="O5" s="111" t="s">
        <v>6</v>
      </c>
      <c r="P5" s="111" t="s">
        <v>7</v>
      </c>
      <c r="Q5" s="111" t="s">
        <v>8</v>
      </c>
      <c r="R5" s="110"/>
      <c r="S5" s="112" t="s">
        <v>1</v>
      </c>
      <c r="T5" s="112" t="s">
        <v>2</v>
      </c>
      <c r="U5" s="112" t="s">
        <v>3</v>
      </c>
    </row>
    <row r="6" spans="2:21" x14ac:dyDescent="0.25">
      <c r="B6" s="150" t="s">
        <v>43</v>
      </c>
      <c r="C6" s="150"/>
      <c r="D6" s="150"/>
      <c r="E6" s="46"/>
      <c r="F6" s="46">
        <f t="shared" ref="F6:Q6" si="0">SUM(F7:F12)</f>
        <v>5924</v>
      </c>
      <c r="G6" s="46">
        <f t="shared" si="0"/>
        <v>10205</v>
      </c>
      <c r="H6" s="46">
        <f t="shared" si="0"/>
        <v>17459.5</v>
      </c>
      <c r="I6" s="46">
        <f t="shared" si="0"/>
        <v>26548</v>
      </c>
      <c r="J6" s="46">
        <f t="shared" si="0"/>
        <v>41371</v>
      </c>
      <c r="K6" s="46">
        <f t="shared" si="0"/>
        <v>51810</v>
      </c>
      <c r="L6" s="46">
        <f t="shared" si="0"/>
        <v>68653</v>
      </c>
      <c r="M6" s="46">
        <f t="shared" si="0"/>
        <v>88634</v>
      </c>
      <c r="N6" s="46">
        <f t="shared" si="0"/>
        <v>122383.8</v>
      </c>
      <c r="O6" s="46">
        <f t="shared" si="0"/>
        <v>137020</v>
      </c>
      <c r="P6" s="46">
        <f t="shared" si="0"/>
        <v>166420</v>
      </c>
      <c r="Q6" s="46">
        <f t="shared" si="0"/>
        <v>200405</v>
      </c>
      <c r="S6" s="46">
        <f t="shared" ref="S6:S12" si="1">SUM(F6:I6)</f>
        <v>60136.5</v>
      </c>
      <c r="T6" s="46">
        <f t="shared" ref="T6:T12" si="2">SUM(J6:M6)</f>
        <v>250468</v>
      </c>
      <c r="U6" s="46">
        <f t="shared" ref="U6:U12" si="3">SUM(N6:Q6)</f>
        <v>626228.80000000005</v>
      </c>
    </row>
    <row r="7" spans="2:21" outlineLevel="1" x14ac:dyDescent="0.25">
      <c r="B7" s="151" t="str">
        <f>PREMISSAS!B8</f>
        <v>Plano Free (conversões)</v>
      </c>
      <c r="C7" s="151"/>
      <c r="D7" s="151"/>
      <c r="E7" s="47"/>
      <c r="F7" s="47">
        <f>PREMISSAS!F8*PREMISSAS!$D$17</f>
        <v>150</v>
      </c>
      <c r="G7" s="47">
        <f>PREMISSAS!G8*PREMISSAS!$D$17</f>
        <v>250</v>
      </c>
      <c r="H7" s="47">
        <f>PREMISSAS!H8*PREMISSAS!$D$17</f>
        <v>380</v>
      </c>
      <c r="I7" s="47">
        <f>PREMISSAS!I8*PREMISSAS!$D$17</f>
        <v>550</v>
      </c>
      <c r="J7" s="47">
        <f>(PREMISSAS!J8*PREMISSAS!$D$17*PREMISSAS!$F$16)+PREMISSAS!J8*PREMISSAS!$D$17</f>
        <v>825</v>
      </c>
      <c r="K7" s="47">
        <f>PREMISSAS!K8*PREMISSAS!$D$17</f>
        <v>1000</v>
      </c>
      <c r="L7" s="47">
        <f>PREMISSAS!L8*PREMISSAS!$D$17</f>
        <v>1300</v>
      </c>
      <c r="M7" s="47">
        <f>PREMISSAS!M8*PREMISSAS!$D$17</f>
        <v>1650</v>
      </c>
      <c r="N7" s="47">
        <f>(PREMISSAS!N8*PREMISSAS!$D$17*PREMISSAS!$F$16)+PREMISSAS!N8*PREMISSAS!$D$17</f>
        <v>2255</v>
      </c>
      <c r="O7" s="47">
        <f>PREMISSAS!O8*PREMISSAS!$D$17</f>
        <v>2500</v>
      </c>
      <c r="P7" s="47">
        <f>PREMISSAS!P8*PREMISSAS!$D$17</f>
        <v>3000</v>
      </c>
      <c r="Q7" s="47">
        <f>PREMISSAS!Q8*PREMISSAS!$D$17</f>
        <v>3600</v>
      </c>
      <c r="S7" s="47">
        <f t="shared" si="1"/>
        <v>1330</v>
      </c>
      <c r="T7" s="47">
        <f t="shared" si="2"/>
        <v>4775</v>
      </c>
      <c r="U7" s="47">
        <f t="shared" si="3"/>
        <v>11355</v>
      </c>
    </row>
    <row r="8" spans="2:21" outlineLevel="1" x14ac:dyDescent="0.25">
      <c r="B8" s="151" t="str">
        <f>PREMISSAS!B9</f>
        <v>Plano Pro Mensal</v>
      </c>
      <c r="C8" s="151"/>
      <c r="D8" s="151"/>
      <c r="E8" s="47"/>
      <c r="F8" s="47">
        <f>PREMISSAS!F9*PREMISSAS!$D$19</f>
        <v>1794</v>
      </c>
      <c r="G8" s="47">
        <f>PREMISSAS!G9*PREMISSAS!$D$19</f>
        <v>2990</v>
      </c>
      <c r="H8" s="47">
        <f>PREMISSAS!H9*PREMISSAS!$D$19</f>
        <v>4634.5</v>
      </c>
      <c r="I8" s="47">
        <f>PREMISSAS!I9*PREMISSAS!$D$19</f>
        <v>6578</v>
      </c>
      <c r="J8" s="47">
        <f>(PREMISSAS!J9*PREMISSAS!$D$19*PREMISSAS!$F$16)+PREMISSAS!J9*PREMISSAS!$D$19</f>
        <v>9867</v>
      </c>
      <c r="K8" s="47">
        <f>PREMISSAS!K9*PREMISSAS!$D$19</f>
        <v>11960</v>
      </c>
      <c r="L8" s="47">
        <f>PREMISSAS!L9*PREMISSAS!$D$19</f>
        <v>15548</v>
      </c>
      <c r="M8" s="47">
        <f>PREMISSAS!M9*PREMISSAS!$D$19</f>
        <v>19734</v>
      </c>
      <c r="N8" s="47">
        <f>(PREMISSAS!N9*PREMISSAS!$D$19*PREMISSAS!$F$16)+PREMISSAS!N9*PREMISSAS!$D$19</f>
        <v>26969.8</v>
      </c>
      <c r="O8" s="47">
        <f>PREMISSAS!O9*PREMISSAS!$D$19</f>
        <v>29900</v>
      </c>
      <c r="P8" s="47">
        <f>PREMISSAS!P9*PREMISSAS!$D$19</f>
        <v>35880</v>
      </c>
      <c r="Q8" s="47">
        <f>PREMISSAS!Q9*PREMISSAS!$D$19</f>
        <v>43355</v>
      </c>
      <c r="S8" s="47">
        <f t="shared" si="1"/>
        <v>15996.5</v>
      </c>
      <c r="T8" s="47">
        <f t="shared" si="2"/>
        <v>57109</v>
      </c>
      <c r="U8" s="47">
        <f t="shared" si="3"/>
        <v>136104.79999999999</v>
      </c>
    </row>
    <row r="9" spans="2:21" outlineLevel="1" x14ac:dyDescent="0.25">
      <c r="B9" s="151" t="str">
        <f>PREMISSAS!B10</f>
        <v>Plano Pro Anual</v>
      </c>
      <c r="C9" s="151"/>
      <c r="D9" s="151"/>
      <c r="E9" s="47"/>
      <c r="F9" s="47">
        <f>PREMISSAS!F10*PREMISSAS!$D$21</f>
        <v>3980</v>
      </c>
      <c r="G9" s="47">
        <f>PREMISSAS!G10*PREMISSAS!$D$21</f>
        <v>6965</v>
      </c>
      <c r="H9" s="47">
        <f>PREMISSAS!H10*PREMISSAS!$D$21</f>
        <v>10945</v>
      </c>
      <c r="I9" s="47">
        <f>PREMISSAS!I10*PREMISSAS!$D$21</f>
        <v>15920</v>
      </c>
      <c r="J9" s="47">
        <f>(PREMISSAS!J10*PREMISSAS!$D$21*PREMISSAS!$F$16)+PREMISSAS!J10*PREMISSAS!$D$21</f>
        <v>24079</v>
      </c>
      <c r="K9" s="47">
        <f>PREMISSAS!K10*PREMISSAS!$D$21</f>
        <v>29850</v>
      </c>
      <c r="L9" s="47">
        <f>PREMISSAS!L10*PREMISSAS!$D$21</f>
        <v>38805</v>
      </c>
      <c r="M9" s="47">
        <f>PREMISSAS!M10*PREMISSAS!$D$21</f>
        <v>49750</v>
      </c>
      <c r="N9" s="47">
        <f>(PREMISSAS!N10*PREMISSAS!$D$21*PREMISSAS!$F$16)+PREMISSAS!N10*PREMISSAS!$D$21</f>
        <v>67859</v>
      </c>
      <c r="O9" s="47">
        <f>PREMISSAS!O10*PREMISSAS!$D$21</f>
        <v>75620</v>
      </c>
      <c r="P9" s="47">
        <f>PREMISSAS!P10*PREMISSAS!$D$21</f>
        <v>91540</v>
      </c>
      <c r="Q9" s="47">
        <f>PREMISSAS!Q10*PREMISSAS!$D$21</f>
        <v>109450</v>
      </c>
      <c r="S9" s="47">
        <f t="shared" si="1"/>
        <v>37810</v>
      </c>
      <c r="T9" s="47">
        <f t="shared" si="2"/>
        <v>142484</v>
      </c>
      <c r="U9" s="47">
        <f t="shared" si="3"/>
        <v>344469</v>
      </c>
    </row>
    <row r="10" spans="2:21" outlineLevel="1" x14ac:dyDescent="0.25">
      <c r="B10" s="151" t="str">
        <f>PREMISSAS!B11</f>
        <v>Parcerias / B2B</v>
      </c>
      <c r="C10" s="151"/>
      <c r="D10" s="151"/>
      <c r="E10" s="47"/>
      <c r="F10" s="47">
        <f>PREMISSAS!F11*PREMISSAS!$D$23</f>
        <v>0</v>
      </c>
      <c r="G10" s="47">
        <f>PREMISSAS!G11*PREMISSAS!$D$23</f>
        <v>0</v>
      </c>
      <c r="H10" s="47">
        <f>PREMISSAS!H11*PREMISSAS!$D$23</f>
        <v>1500</v>
      </c>
      <c r="I10" s="47">
        <f>PREMISSAS!I11*PREMISSAS!$D$23</f>
        <v>3500</v>
      </c>
      <c r="J10" s="47">
        <f>(PREMISSAS!J11*PREMISSAS!$D$23*PREMISSAS!$F$16)+PREMISSAS!J11*PREMISSAS!$D$23</f>
        <v>6600</v>
      </c>
      <c r="K10" s="47">
        <f>PREMISSAS!K11*PREMISSAS!$D$23</f>
        <v>9000</v>
      </c>
      <c r="L10" s="47">
        <f>PREMISSAS!L11*PREMISSAS!$D$23</f>
        <v>13000</v>
      </c>
      <c r="M10" s="47">
        <f>PREMISSAS!M11*PREMISSAS!$D$23</f>
        <v>17500</v>
      </c>
      <c r="N10" s="47">
        <f>(PREMISSAS!N11*PREMISSAS!$D$23*PREMISSAS!$F$16)+PREMISSAS!N11*PREMISSAS!$D$23</f>
        <v>25300</v>
      </c>
      <c r="O10" s="47">
        <f>PREMISSAS!O11*PREMISSAS!$D$23</f>
        <v>29000</v>
      </c>
      <c r="P10" s="47">
        <f>PREMISSAS!P11*PREMISSAS!$D$23</f>
        <v>36000</v>
      </c>
      <c r="Q10" s="47">
        <f>PREMISSAS!Q11*PREMISSAS!$D$23</f>
        <v>44000</v>
      </c>
      <c r="S10" s="47">
        <f t="shared" si="1"/>
        <v>5000</v>
      </c>
      <c r="T10" s="47">
        <f t="shared" si="2"/>
        <v>46100</v>
      </c>
      <c r="U10" s="47">
        <f t="shared" si="3"/>
        <v>134300</v>
      </c>
    </row>
    <row r="11" spans="2:21" outlineLevel="1" x14ac:dyDescent="0.25">
      <c r="B11" s="151">
        <f>PREMISSAS!B12</f>
        <v>0</v>
      </c>
      <c r="C11" s="151"/>
      <c r="D11" s="151"/>
      <c r="E11" s="47"/>
      <c r="F11" s="47">
        <f>PREMISSAS!F12*PREMISSAS!$D$25</f>
        <v>0</v>
      </c>
      <c r="G11" s="47">
        <f>PREMISSAS!G12*PREMISSAS!$D$25</f>
        <v>0</v>
      </c>
      <c r="H11" s="47">
        <f>PREMISSAS!H12*PREMISSAS!$D$25</f>
        <v>0</v>
      </c>
      <c r="I11" s="47">
        <f>PREMISSAS!I12*PREMISSAS!$D$25</f>
        <v>0</v>
      </c>
      <c r="J11" s="47">
        <f>(PREMISSAS!J12*PREMISSAS!$D$25*PREMISSAS!$F$16)+PREMISSAS!J12*PREMISSAS!$D$25</f>
        <v>0</v>
      </c>
      <c r="K11" s="47">
        <f>PREMISSAS!K12*PREMISSAS!$D$25</f>
        <v>0</v>
      </c>
      <c r="L11" s="47">
        <f>PREMISSAS!L12*PREMISSAS!$D$25</f>
        <v>0</v>
      </c>
      <c r="M11" s="47">
        <f>PREMISSAS!M12*PREMISSAS!$D$25</f>
        <v>0</v>
      </c>
      <c r="N11" s="47">
        <f>(PREMISSAS!N12*PREMISSAS!$D$25*PREMISSAS!$F$16)+PREMISSAS!N12*PREMISSAS!$D$25</f>
        <v>0</v>
      </c>
      <c r="O11" s="47">
        <f>PREMISSAS!O12*PREMISSAS!$D$25</f>
        <v>0</v>
      </c>
      <c r="P11" s="47">
        <f>PREMISSAS!P12*PREMISSAS!$D$25</f>
        <v>0</v>
      </c>
      <c r="Q11" s="47">
        <f>PREMISSAS!Q12*PREMISSAS!$D$25</f>
        <v>0</v>
      </c>
      <c r="S11" s="47">
        <f t="shared" si="1"/>
        <v>0</v>
      </c>
      <c r="T11" s="47">
        <f t="shared" si="2"/>
        <v>0</v>
      </c>
      <c r="U11" s="47">
        <f t="shared" si="3"/>
        <v>0</v>
      </c>
    </row>
    <row r="12" spans="2:21" outlineLevel="1" x14ac:dyDescent="0.25">
      <c r="B12" s="151">
        <f>PREMISSAS!B13</f>
        <v>0</v>
      </c>
      <c r="C12" s="151"/>
      <c r="D12" s="151"/>
      <c r="E12" s="47"/>
      <c r="F12" s="47">
        <f>PREMISSAS!F13*PREMISSAS!$D$27</f>
        <v>0</v>
      </c>
      <c r="G12" s="47">
        <f>PREMISSAS!G13*PREMISSAS!$D$27</f>
        <v>0</v>
      </c>
      <c r="H12" s="47">
        <f>PREMISSAS!H13*PREMISSAS!$D$27</f>
        <v>0</v>
      </c>
      <c r="I12" s="47">
        <f>PREMISSAS!I13*PREMISSAS!$D$27</f>
        <v>0</v>
      </c>
      <c r="J12" s="47">
        <f>(PREMISSAS!J13*PREMISSAS!$D$27*PREMISSAS!$F$16)+PREMISSAS!J13*PREMISSAS!$D$27</f>
        <v>0</v>
      </c>
      <c r="K12" s="47">
        <f>PREMISSAS!K13*PREMISSAS!$D$27</f>
        <v>0</v>
      </c>
      <c r="L12" s="47">
        <f>PREMISSAS!L13*PREMISSAS!$D$27</f>
        <v>0</v>
      </c>
      <c r="M12" s="47">
        <f>PREMISSAS!M13*PREMISSAS!$D$27</f>
        <v>0</v>
      </c>
      <c r="N12" s="47">
        <f>(PREMISSAS!N13*PREMISSAS!$D$27*PREMISSAS!$F$16)+PREMISSAS!N13*PREMISSAS!$D$27</f>
        <v>0</v>
      </c>
      <c r="O12" s="47">
        <f>PREMISSAS!O13*PREMISSAS!$D$27</f>
        <v>0</v>
      </c>
      <c r="P12" s="47">
        <f>PREMISSAS!P13*PREMISSAS!$D$27</f>
        <v>0</v>
      </c>
      <c r="Q12" s="47">
        <f>PREMISSAS!Q13*PREMISSAS!$D$27</f>
        <v>0</v>
      </c>
      <c r="S12" s="47">
        <f t="shared" si="1"/>
        <v>0</v>
      </c>
      <c r="T12" s="47">
        <f t="shared" si="2"/>
        <v>0</v>
      </c>
      <c r="U12" s="47">
        <f t="shared" si="3"/>
        <v>0</v>
      </c>
    </row>
    <row r="13" spans="2:21" x14ac:dyDescent="0.25">
      <c r="B13" s="39"/>
      <c r="C13" s="39"/>
      <c r="D13" s="39"/>
      <c r="E13" s="44"/>
      <c r="F13" s="44"/>
      <c r="G13" s="44"/>
      <c r="H13" s="44"/>
      <c r="I13" s="44"/>
      <c r="J13" s="44"/>
      <c r="K13" s="44"/>
      <c r="L13" s="44"/>
      <c r="M13" s="44"/>
      <c r="N13" s="48"/>
    </row>
    <row r="14" spans="2:21" x14ac:dyDescent="0.25">
      <c r="B14" s="152" t="s">
        <v>44</v>
      </c>
      <c r="C14" s="152"/>
      <c r="D14" s="152"/>
      <c r="E14" s="49"/>
      <c r="F14" s="49">
        <f t="shared" ref="F14:Q14" si="4">SUM(F15:F20)</f>
        <v>225</v>
      </c>
      <c r="G14" s="49">
        <f t="shared" si="4"/>
        <v>377.5</v>
      </c>
      <c r="H14" s="49">
        <f t="shared" si="4"/>
        <v>597.5</v>
      </c>
      <c r="I14" s="49">
        <f t="shared" si="4"/>
        <v>870</v>
      </c>
      <c r="J14" s="49">
        <f t="shared" si="4"/>
        <v>1200</v>
      </c>
      <c r="K14" s="49">
        <f t="shared" si="4"/>
        <v>1615</v>
      </c>
      <c r="L14" s="49">
        <f t="shared" si="4"/>
        <v>2112.5</v>
      </c>
      <c r="M14" s="49">
        <f t="shared" si="4"/>
        <v>2695</v>
      </c>
      <c r="N14" s="49">
        <f t="shared" si="4"/>
        <v>3360</v>
      </c>
      <c r="O14" s="49">
        <f t="shared" si="4"/>
        <v>4110</v>
      </c>
      <c r="P14" s="49">
        <f t="shared" si="4"/>
        <v>4950</v>
      </c>
      <c r="Q14" s="49">
        <f t="shared" si="4"/>
        <v>5965</v>
      </c>
      <c r="S14" s="49">
        <f t="shared" ref="S14:S20" si="5">SUM(F14:I14)</f>
        <v>2070</v>
      </c>
      <c r="T14" s="49">
        <f t="shared" ref="T14:T20" si="6">SUM(J14:M14)</f>
        <v>7622.5</v>
      </c>
      <c r="U14" s="49">
        <f t="shared" ref="U14:U20" si="7">SUM(N14:Q14)</f>
        <v>18385</v>
      </c>
    </row>
    <row r="15" spans="2:21" s="24" customFormat="1" outlineLevel="1" x14ac:dyDescent="0.25">
      <c r="B15" s="154" t="str">
        <f>PREMISSAS!B32</f>
        <v>Plano Free (conversões)</v>
      </c>
      <c r="C15" s="154"/>
      <c r="D15" s="114"/>
      <c r="E15" s="50"/>
      <c r="F15" s="50">
        <f>PREMISSAS!F8*PREMISSAS!$D$32</f>
        <v>75</v>
      </c>
      <c r="G15" s="50">
        <f>PREMISSAS!G8*PREMISSAS!$D$32</f>
        <v>125</v>
      </c>
      <c r="H15" s="50">
        <f>PREMISSAS!H8*PREMISSAS!$D$32</f>
        <v>190</v>
      </c>
      <c r="I15" s="50">
        <f>PREMISSAS!I8*PREMISSAS!$D$32</f>
        <v>275</v>
      </c>
      <c r="J15" s="50">
        <f>PREMISSAS!J8*PREMISSAS!$D$32</f>
        <v>375</v>
      </c>
      <c r="K15" s="50">
        <f>PREMISSAS!K8*PREMISSAS!$D$32</f>
        <v>500</v>
      </c>
      <c r="L15" s="50">
        <f>PREMISSAS!L8*PREMISSAS!$D$32</f>
        <v>650</v>
      </c>
      <c r="M15" s="50">
        <f>PREMISSAS!M8*PREMISSAS!$D$32</f>
        <v>825</v>
      </c>
      <c r="N15" s="50">
        <f>PREMISSAS!N8*PREMISSAS!$D$32</f>
        <v>1025</v>
      </c>
      <c r="O15" s="50">
        <f>PREMISSAS!O8*PREMISSAS!$D$32</f>
        <v>1250</v>
      </c>
      <c r="P15" s="50">
        <f>PREMISSAS!P8*PREMISSAS!$D$32</f>
        <v>1500</v>
      </c>
      <c r="Q15" s="50">
        <f>PREMISSAS!Q8*PREMISSAS!$D$32</f>
        <v>1800</v>
      </c>
      <c r="S15" s="50">
        <f t="shared" si="5"/>
        <v>665</v>
      </c>
      <c r="T15" s="50">
        <f t="shared" si="6"/>
        <v>2350</v>
      </c>
      <c r="U15" s="50">
        <f t="shared" si="7"/>
        <v>5575</v>
      </c>
    </row>
    <row r="16" spans="2:21" s="24" customFormat="1" outlineLevel="1" x14ac:dyDescent="0.25">
      <c r="B16" s="154" t="str">
        <f>PREMISSAS!B34</f>
        <v>Plano Pro Mensal</v>
      </c>
      <c r="C16" s="154"/>
      <c r="D16" s="114"/>
      <c r="E16" s="50"/>
      <c r="F16" s="50">
        <f>PREMISSAS!F9*PREMISSAS!$D$34</f>
        <v>120</v>
      </c>
      <c r="G16" s="50">
        <f>PREMISSAS!G9*PREMISSAS!$D$34</f>
        <v>200</v>
      </c>
      <c r="H16" s="50">
        <f>PREMISSAS!H9*PREMISSAS!$D$34</f>
        <v>310</v>
      </c>
      <c r="I16" s="50">
        <f>PREMISSAS!I9*PREMISSAS!$D$34</f>
        <v>440</v>
      </c>
      <c r="J16" s="50">
        <f>PREMISSAS!J9*PREMISSAS!$D$34</f>
        <v>600</v>
      </c>
      <c r="K16" s="50">
        <f>PREMISSAS!K9*PREMISSAS!$D$34</f>
        <v>800</v>
      </c>
      <c r="L16" s="50">
        <f>PREMISSAS!L9*PREMISSAS!$D$34</f>
        <v>1040</v>
      </c>
      <c r="M16" s="50">
        <f>PREMISSAS!M9*PREMISSAS!$D$34</f>
        <v>1320</v>
      </c>
      <c r="N16" s="50">
        <f>PREMISSAS!N9*PREMISSAS!$D$34</f>
        <v>1640</v>
      </c>
      <c r="O16" s="50">
        <f>PREMISSAS!O9*PREMISSAS!$D$34</f>
        <v>2000</v>
      </c>
      <c r="P16" s="50">
        <f>PREMISSAS!P9*PREMISSAS!$D$34</f>
        <v>2400</v>
      </c>
      <c r="Q16" s="50">
        <f>PREMISSAS!Q9*PREMISSAS!$D$34</f>
        <v>2900</v>
      </c>
      <c r="S16" s="50">
        <f t="shared" si="5"/>
        <v>1070</v>
      </c>
      <c r="T16" s="50">
        <f t="shared" si="6"/>
        <v>3760</v>
      </c>
      <c r="U16" s="50">
        <f t="shared" si="7"/>
        <v>8940</v>
      </c>
    </row>
    <row r="17" spans="2:21" s="24" customFormat="1" outlineLevel="1" x14ac:dyDescent="0.25">
      <c r="B17" s="154" t="str">
        <f>PREMISSAS!B36</f>
        <v>Plano Pro Anual</v>
      </c>
      <c r="C17" s="154"/>
      <c r="D17" s="114"/>
      <c r="E17" s="50"/>
      <c r="F17" s="50">
        <f>PREMISSAS!F10*PREMISSAS!$D$36</f>
        <v>30</v>
      </c>
      <c r="G17" s="50">
        <f>PREMISSAS!G10*PREMISSAS!$D$36</f>
        <v>52.5</v>
      </c>
      <c r="H17" s="50">
        <f>PREMISSAS!H10*PREMISSAS!$D$36</f>
        <v>82.5</v>
      </c>
      <c r="I17" s="50">
        <f>PREMISSAS!I10*PREMISSAS!$D$36</f>
        <v>120</v>
      </c>
      <c r="J17" s="50">
        <f>PREMISSAS!J10*PREMISSAS!$D$36</f>
        <v>165</v>
      </c>
      <c r="K17" s="50">
        <f>PREMISSAS!K10*PREMISSAS!$D$36</f>
        <v>225</v>
      </c>
      <c r="L17" s="50">
        <f>PREMISSAS!L10*PREMISSAS!$D$36</f>
        <v>292.5</v>
      </c>
      <c r="M17" s="50">
        <f>PREMISSAS!M10*PREMISSAS!$D$36</f>
        <v>375</v>
      </c>
      <c r="N17" s="50">
        <f>PREMISSAS!N10*PREMISSAS!$D$36</f>
        <v>465</v>
      </c>
      <c r="O17" s="50">
        <f>PREMISSAS!O10*PREMISSAS!$D$36</f>
        <v>570</v>
      </c>
      <c r="P17" s="50">
        <f>PREMISSAS!P10*PREMISSAS!$D$36</f>
        <v>690</v>
      </c>
      <c r="Q17" s="50">
        <f>PREMISSAS!Q10*PREMISSAS!$D$36</f>
        <v>825</v>
      </c>
      <c r="S17" s="50">
        <f t="shared" si="5"/>
        <v>285</v>
      </c>
      <c r="T17" s="50">
        <f t="shared" si="6"/>
        <v>1057.5</v>
      </c>
      <c r="U17" s="50">
        <f t="shared" si="7"/>
        <v>2550</v>
      </c>
    </row>
    <row r="18" spans="2:21" s="24" customFormat="1" outlineLevel="1" x14ac:dyDescent="0.25">
      <c r="B18" s="154" t="str">
        <f>PREMISSAS!B38</f>
        <v>Parcerias / B2B</v>
      </c>
      <c r="C18" s="154"/>
      <c r="D18" s="114"/>
      <c r="E18" s="50"/>
      <c r="F18" s="50">
        <f>PREMISSAS!F11*PREMISSAS!$D$38</f>
        <v>0</v>
      </c>
      <c r="G18" s="50">
        <f>PREMISSAS!G11*PREMISSAS!$D$38</f>
        <v>0</v>
      </c>
      <c r="H18" s="50">
        <f>PREMISSAS!H11*PREMISSAS!$D$38</f>
        <v>15</v>
      </c>
      <c r="I18" s="50">
        <f>PREMISSAS!I11*PREMISSAS!$D$38</f>
        <v>35</v>
      </c>
      <c r="J18" s="50">
        <f>PREMISSAS!J11*PREMISSAS!$D$38</f>
        <v>60</v>
      </c>
      <c r="K18" s="50">
        <f>PREMISSAS!K11*PREMISSAS!$D$38</f>
        <v>90</v>
      </c>
      <c r="L18" s="50">
        <f>PREMISSAS!L11*PREMISSAS!$D$38</f>
        <v>130</v>
      </c>
      <c r="M18" s="50">
        <f>PREMISSAS!M11*PREMISSAS!$D$38</f>
        <v>175</v>
      </c>
      <c r="N18" s="50">
        <f>PREMISSAS!N11*PREMISSAS!$D$38</f>
        <v>230</v>
      </c>
      <c r="O18" s="50">
        <f>PREMISSAS!O11*PREMISSAS!$D$38</f>
        <v>290</v>
      </c>
      <c r="P18" s="50">
        <f>PREMISSAS!P11*PREMISSAS!$D$38</f>
        <v>360</v>
      </c>
      <c r="Q18" s="50">
        <f>PREMISSAS!Q11*PREMISSAS!$D$38</f>
        <v>440</v>
      </c>
      <c r="S18" s="50">
        <f t="shared" si="5"/>
        <v>50</v>
      </c>
      <c r="T18" s="50">
        <f t="shared" si="6"/>
        <v>455</v>
      </c>
      <c r="U18" s="50">
        <f t="shared" si="7"/>
        <v>1320</v>
      </c>
    </row>
    <row r="19" spans="2:21" s="24" customFormat="1" outlineLevel="1" x14ac:dyDescent="0.25">
      <c r="B19" s="154">
        <f>PREMISSAS!B40</f>
        <v>0</v>
      </c>
      <c r="C19" s="154"/>
      <c r="D19" s="114"/>
      <c r="E19" s="50"/>
      <c r="F19" s="50">
        <f>PREMISSAS!F12*PREMISSAS!$D$40</f>
        <v>0</v>
      </c>
      <c r="G19" s="50">
        <f>PREMISSAS!G12*PREMISSAS!$D$40</f>
        <v>0</v>
      </c>
      <c r="H19" s="50">
        <f>PREMISSAS!H12*PREMISSAS!$D$40</f>
        <v>0</v>
      </c>
      <c r="I19" s="50">
        <f>PREMISSAS!I12*PREMISSAS!$D$40</f>
        <v>0</v>
      </c>
      <c r="J19" s="50">
        <f>PREMISSAS!J12*PREMISSAS!$D$40</f>
        <v>0</v>
      </c>
      <c r="K19" s="50">
        <f>PREMISSAS!K12*PREMISSAS!$D$40</f>
        <v>0</v>
      </c>
      <c r="L19" s="50">
        <f>PREMISSAS!L12*PREMISSAS!$D$40</f>
        <v>0</v>
      </c>
      <c r="M19" s="50">
        <f>PREMISSAS!M12*PREMISSAS!$D$40</f>
        <v>0</v>
      </c>
      <c r="N19" s="50">
        <f>PREMISSAS!N12*PREMISSAS!$D$40</f>
        <v>0</v>
      </c>
      <c r="O19" s="50">
        <f>PREMISSAS!O12*PREMISSAS!$D$40</f>
        <v>0</v>
      </c>
      <c r="P19" s="50">
        <f>PREMISSAS!P12*PREMISSAS!$D$40</f>
        <v>0</v>
      </c>
      <c r="Q19" s="50">
        <f>PREMISSAS!Q12*PREMISSAS!$D$40</f>
        <v>0</v>
      </c>
      <c r="S19" s="50">
        <f t="shared" si="5"/>
        <v>0</v>
      </c>
      <c r="T19" s="50">
        <f t="shared" si="6"/>
        <v>0</v>
      </c>
      <c r="U19" s="50">
        <f t="shared" si="7"/>
        <v>0</v>
      </c>
    </row>
    <row r="20" spans="2:21" s="24" customFormat="1" outlineLevel="1" x14ac:dyDescent="0.25">
      <c r="B20" s="154">
        <f>PREMISSAS!B42</f>
        <v>0</v>
      </c>
      <c r="C20" s="154"/>
      <c r="D20" s="114"/>
      <c r="E20" s="50"/>
      <c r="F20" s="50">
        <f>PREMISSAS!F13*PREMISSAS!$D$42</f>
        <v>0</v>
      </c>
      <c r="G20" s="50">
        <f>PREMISSAS!G13*PREMISSAS!$D$42</f>
        <v>0</v>
      </c>
      <c r="H20" s="50">
        <f>PREMISSAS!H13*PREMISSAS!$D$42</f>
        <v>0</v>
      </c>
      <c r="I20" s="50">
        <f>PREMISSAS!I13*PREMISSAS!$D$42</f>
        <v>0</v>
      </c>
      <c r="J20" s="50">
        <f>PREMISSAS!J13*PREMISSAS!$D$42</f>
        <v>0</v>
      </c>
      <c r="K20" s="50">
        <f>PREMISSAS!K13*PREMISSAS!$D$42</f>
        <v>0</v>
      </c>
      <c r="L20" s="50">
        <f>PREMISSAS!L13*PREMISSAS!$D$42</f>
        <v>0</v>
      </c>
      <c r="M20" s="50">
        <f>PREMISSAS!M13*PREMISSAS!$D$42</f>
        <v>0</v>
      </c>
      <c r="N20" s="50">
        <f>PREMISSAS!N13*PREMISSAS!$D$42</f>
        <v>0</v>
      </c>
      <c r="O20" s="50">
        <f>PREMISSAS!O13*PREMISSAS!$D$42</f>
        <v>0</v>
      </c>
      <c r="P20" s="50">
        <f>PREMISSAS!P13*PREMISSAS!$D$42</f>
        <v>0</v>
      </c>
      <c r="Q20" s="50">
        <f>PREMISSAS!Q13*PREMISSAS!$D$42</f>
        <v>0</v>
      </c>
      <c r="S20" s="50">
        <f t="shared" si="5"/>
        <v>0</v>
      </c>
      <c r="T20" s="50">
        <f t="shared" si="6"/>
        <v>0</v>
      </c>
      <c r="U20" s="50">
        <f t="shared" si="7"/>
        <v>0</v>
      </c>
    </row>
    <row r="21" spans="2:21" x14ac:dyDescent="0.25">
      <c r="S21" s="40"/>
      <c r="T21" s="40"/>
      <c r="U21" s="40"/>
    </row>
    <row r="22" spans="2:21" x14ac:dyDescent="0.25">
      <c r="B22" s="153" t="s">
        <v>67</v>
      </c>
      <c r="C22" s="153"/>
      <c r="D22" s="153"/>
      <c r="E22" s="51"/>
      <c r="F22" s="51">
        <f t="shared" ref="F22:Q22" si="8">F6-F14</f>
        <v>5699</v>
      </c>
      <c r="G22" s="51">
        <f t="shared" si="8"/>
        <v>9827.5</v>
      </c>
      <c r="H22" s="51">
        <f t="shared" si="8"/>
        <v>16862</v>
      </c>
      <c r="I22" s="51">
        <f t="shared" si="8"/>
        <v>25678</v>
      </c>
      <c r="J22" s="51">
        <f t="shared" si="8"/>
        <v>40171</v>
      </c>
      <c r="K22" s="51">
        <f t="shared" si="8"/>
        <v>50195</v>
      </c>
      <c r="L22" s="51">
        <f t="shared" si="8"/>
        <v>66540.5</v>
      </c>
      <c r="M22" s="51">
        <f t="shared" si="8"/>
        <v>85939</v>
      </c>
      <c r="N22" s="51">
        <f t="shared" si="8"/>
        <v>119023.8</v>
      </c>
      <c r="O22" s="51">
        <f t="shared" si="8"/>
        <v>132910</v>
      </c>
      <c r="P22" s="51">
        <f t="shared" si="8"/>
        <v>161470</v>
      </c>
      <c r="Q22" s="51">
        <f t="shared" si="8"/>
        <v>194440</v>
      </c>
      <c r="S22" s="51">
        <f>SUM(F22:I22)</f>
        <v>58066.5</v>
      </c>
      <c r="T22" s="51">
        <f>SUM(J22:M22)</f>
        <v>242845.5</v>
      </c>
      <c r="U22" s="51">
        <f>SUM(N22:Q22)</f>
        <v>607843.80000000005</v>
      </c>
    </row>
    <row r="23" spans="2:21" x14ac:dyDescent="0.25">
      <c r="B23" s="149" t="s">
        <v>16</v>
      </c>
      <c r="C23" s="149"/>
      <c r="D23" s="149"/>
      <c r="E23" s="52"/>
      <c r="F23" s="52">
        <f t="shared" ref="F23:Q23" si="9">F22/F6</f>
        <v>0.96201890614449692</v>
      </c>
      <c r="G23" s="52">
        <f t="shared" si="9"/>
        <v>0.9630083292503675</v>
      </c>
      <c r="H23" s="52">
        <f t="shared" si="9"/>
        <v>0.96577794324006982</v>
      </c>
      <c r="I23" s="52">
        <f t="shared" si="9"/>
        <v>0.96722916980563511</v>
      </c>
      <c r="J23" s="52">
        <f t="shared" si="9"/>
        <v>0.97099417466341154</v>
      </c>
      <c r="K23" s="52">
        <f t="shared" si="9"/>
        <v>0.96882841150357069</v>
      </c>
      <c r="L23" s="52">
        <f t="shared" si="9"/>
        <v>0.96922931263018364</v>
      </c>
      <c r="M23" s="52">
        <f t="shared" si="9"/>
        <v>0.96959406096983103</v>
      </c>
      <c r="N23" s="52">
        <f t="shared" si="9"/>
        <v>0.97254538590891937</v>
      </c>
      <c r="O23" s="52">
        <f t="shared" si="9"/>
        <v>0.97000437892278502</v>
      </c>
      <c r="P23" s="52">
        <f t="shared" si="9"/>
        <v>0.97025597884869608</v>
      </c>
      <c r="Q23" s="52">
        <f t="shared" si="9"/>
        <v>0.97023527357101869</v>
      </c>
      <c r="S23" s="25">
        <f>AVERAGE(F23:I23)</f>
        <v>0.96450858711014231</v>
      </c>
      <c r="T23" s="25">
        <f>AVERAGE(J23:M23)</f>
        <v>0.96966148994174928</v>
      </c>
      <c r="U23" s="25">
        <f>AVERAGE(N23:Q23)</f>
        <v>0.97076025431285484</v>
      </c>
    </row>
    <row r="24" spans="2:21" x14ac:dyDescent="0.25">
      <c r="B24" s="41"/>
      <c r="C24" s="41"/>
      <c r="D24" s="41"/>
    </row>
    <row r="25" spans="2:21" x14ac:dyDescent="0.25">
      <c r="B25" s="53" t="s">
        <v>68</v>
      </c>
      <c r="C25" s="53"/>
      <c r="D25" s="53"/>
      <c r="E25" s="54"/>
      <c r="F25" s="55">
        <f t="shared" ref="F25:Q25" si="10">SUM(F26:F30)</f>
        <v>6156</v>
      </c>
      <c r="G25" s="55">
        <f t="shared" si="10"/>
        <v>6156</v>
      </c>
      <c r="H25" s="55">
        <f t="shared" si="10"/>
        <v>6156</v>
      </c>
      <c r="I25" s="55">
        <f t="shared" si="10"/>
        <v>6156</v>
      </c>
      <c r="J25" s="55">
        <f t="shared" si="10"/>
        <v>6771.6</v>
      </c>
      <c r="K25" s="55">
        <f t="shared" si="10"/>
        <v>6771.6</v>
      </c>
      <c r="L25" s="55">
        <f t="shared" si="10"/>
        <v>6771.6</v>
      </c>
      <c r="M25" s="55">
        <f t="shared" si="10"/>
        <v>6771.6</v>
      </c>
      <c r="N25" s="55">
        <f t="shared" si="10"/>
        <v>7448.76</v>
      </c>
      <c r="O25" s="55">
        <f t="shared" si="10"/>
        <v>7448.76</v>
      </c>
      <c r="P25" s="55">
        <f t="shared" si="10"/>
        <v>7448.76</v>
      </c>
      <c r="Q25" s="55">
        <f t="shared" si="10"/>
        <v>7448.76</v>
      </c>
      <c r="S25" s="55">
        <f t="shared" ref="S25:S30" si="11">SUM(F25:I25)</f>
        <v>24624</v>
      </c>
      <c r="T25" s="55">
        <f t="shared" ref="T25:T30" si="12">SUM(J25:M25)</f>
        <v>27086.400000000001</v>
      </c>
      <c r="U25" s="55">
        <f t="shared" ref="U25:U30" si="13">SUM(N25:Q25)</f>
        <v>29795.040000000001</v>
      </c>
    </row>
    <row r="26" spans="2:21" outlineLevel="1" x14ac:dyDescent="0.25">
      <c r="B26" s="56" t="str">
        <f>PREMISSAS!I18</f>
        <v>Agência de Comunicação</v>
      </c>
      <c r="C26" s="56"/>
      <c r="D26" s="57"/>
      <c r="E26" s="58"/>
      <c r="F26" s="58">
        <f>PREMISSAS!L18*3</f>
        <v>2400</v>
      </c>
      <c r="G26" s="58">
        <f t="shared" ref="G26:I30" si="14">F26</f>
        <v>2400</v>
      </c>
      <c r="H26" s="58">
        <f t="shared" si="14"/>
        <v>2400</v>
      </c>
      <c r="I26" s="58">
        <f t="shared" si="14"/>
        <v>2400</v>
      </c>
      <c r="J26" s="58">
        <f>I26+(I26*PREMISSAS!$N$16)</f>
        <v>2640</v>
      </c>
      <c r="K26" s="58">
        <f t="shared" ref="K26:M30" si="15">J26</f>
        <v>2640</v>
      </c>
      <c r="L26" s="58">
        <f t="shared" si="15"/>
        <v>2640</v>
      </c>
      <c r="M26" s="58">
        <f t="shared" si="15"/>
        <v>2640</v>
      </c>
      <c r="N26" s="58">
        <f>M26+(M26*PREMISSAS!$N$16)</f>
        <v>2904</v>
      </c>
      <c r="O26" s="58">
        <f t="shared" ref="O26:Q30" si="16">N26</f>
        <v>2904</v>
      </c>
      <c r="P26" s="58">
        <f t="shared" si="16"/>
        <v>2904</v>
      </c>
      <c r="Q26" s="58">
        <f t="shared" si="16"/>
        <v>2904</v>
      </c>
      <c r="S26" s="59">
        <f t="shared" si="11"/>
        <v>9600</v>
      </c>
      <c r="T26" s="59">
        <f t="shared" si="12"/>
        <v>10560</v>
      </c>
      <c r="U26" s="59">
        <f t="shared" si="13"/>
        <v>11616</v>
      </c>
    </row>
    <row r="27" spans="2:21" outlineLevel="1" x14ac:dyDescent="0.25">
      <c r="B27" s="56" t="str">
        <f>PREMISSAS!I19</f>
        <v>Jurídico</v>
      </c>
      <c r="C27" s="56"/>
      <c r="D27" s="56"/>
      <c r="E27" s="58"/>
      <c r="F27" s="58">
        <f>PREMISSAS!L19*3</f>
        <v>1500</v>
      </c>
      <c r="G27" s="58">
        <f t="shared" si="14"/>
        <v>1500</v>
      </c>
      <c r="H27" s="58">
        <f t="shared" si="14"/>
        <v>1500</v>
      </c>
      <c r="I27" s="58">
        <f t="shared" si="14"/>
        <v>1500</v>
      </c>
      <c r="J27" s="58">
        <f>I27+(I27*PREMISSAS!$N$16)</f>
        <v>1650</v>
      </c>
      <c r="K27" s="58">
        <f t="shared" si="15"/>
        <v>1650</v>
      </c>
      <c r="L27" s="58">
        <f t="shared" si="15"/>
        <v>1650</v>
      </c>
      <c r="M27" s="58">
        <f t="shared" si="15"/>
        <v>1650</v>
      </c>
      <c r="N27" s="58">
        <f>M27+(M27*PREMISSAS!$N$16)</f>
        <v>1815</v>
      </c>
      <c r="O27" s="58">
        <f t="shared" si="16"/>
        <v>1815</v>
      </c>
      <c r="P27" s="58">
        <f t="shared" si="16"/>
        <v>1815</v>
      </c>
      <c r="Q27" s="58">
        <f t="shared" si="16"/>
        <v>1815</v>
      </c>
      <c r="S27" s="59">
        <f t="shared" si="11"/>
        <v>6000</v>
      </c>
      <c r="T27" s="59">
        <f t="shared" si="12"/>
        <v>6600</v>
      </c>
      <c r="U27" s="59">
        <f t="shared" si="13"/>
        <v>7260</v>
      </c>
    </row>
    <row r="28" spans="2:21" outlineLevel="1" x14ac:dyDescent="0.25">
      <c r="B28" s="56" t="str">
        <f>PREMISSAS!I20</f>
        <v>Contabilidade</v>
      </c>
      <c r="C28" s="56"/>
      <c r="D28" s="56"/>
      <c r="E28" s="58"/>
      <c r="F28" s="58">
        <f>PREMISSAS!L20*3</f>
        <v>1800</v>
      </c>
      <c r="G28" s="58">
        <f t="shared" si="14"/>
        <v>1800</v>
      </c>
      <c r="H28" s="58">
        <f t="shared" si="14"/>
        <v>1800</v>
      </c>
      <c r="I28" s="58">
        <f t="shared" si="14"/>
        <v>1800</v>
      </c>
      <c r="J28" s="58">
        <f>I28+(I28*PREMISSAS!$N$16)</f>
        <v>1980</v>
      </c>
      <c r="K28" s="58">
        <f t="shared" si="15"/>
        <v>1980</v>
      </c>
      <c r="L28" s="58">
        <f t="shared" si="15"/>
        <v>1980</v>
      </c>
      <c r="M28" s="58">
        <f t="shared" si="15"/>
        <v>1980</v>
      </c>
      <c r="N28" s="58">
        <f>M28+(M28*PREMISSAS!$N$16)</f>
        <v>2178</v>
      </c>
      <c r="O28" s="58">
        <f t="shared" si="16"/>
        <v>2178</v>
      </c>
      <c r="P28" s="58">
        <f t="shared" si="16"/>
        <v>2178</v>
      </c>
      <c r="Q28" s="58">
        <f t="shared" si="16"/>
        <v>2178</v>
      </c>
      <c r="S28" s="59">
        <f t="shared" si="11"/>
        <v>7200</v>
      </c>
      <c r="T28" s="59">
        <f t="shared" si="12"/>
        <v>7920</v>
      </c>
      <c r="U28" s="59">
        <f t="shared" si="13"/>
        <v>8712</v>
      </c>
    </row>
    <row r="29" spans="2:21" outlineLevel="1" x14ac:dyDescent="0.25">
      <c r="B29" s="56" t="str">
        <f>PREMISSAS!I21</f>
        <v>Conservação e Limpeza</v>
      </c>
      <c r="C29" s="56"/>
      <c r="D29" s="56"/>
      <c r="E29" s="58"/>
      <c r="F29" s="58">
        <f>PREMISSAS!L21*3</f>
        <v>0</v>
      </c>
      <c r="G29" s="58">
        <f t="shared" si="14"/>
        <v>0</v>
      </c>
      <c r="H29" s="58">
        <f t="shared" si="14"/>
        <v>0</v>
      </c>
      <c r="I29" s="58">
        <f t="shared" si="14"/>
        <v>0</v>
      </c>
      <c r="J29" s="58">
        <f>I29+(I29*PREMISSAS!$N$16)</f>
        <v>0</v>
      </c>
      <c r="K29" s="58">
        <f t="shared" si="15"/>
        <v>0</v>
      </c>
      <c r="L29" s="58">
        <f t="shared" si="15"/>
        <v>0</v>
      </c>
      <c r="M29" s="58">
        <f t="shared" si="15"/>
        <v>0</v>
      </c>
      <c r="N29" s="58">
        <f>M29+(M29*PREMISSAS!$N$16)</f>
        <v>0</v>
      </c>
      <c r="O29" s="58">
        <f t="shared" si="16"/>
        <v>0</v>
      </c>
      <c r="P29" s="58">
        <f t="shared" si="16"/>
        <v>0</v>
      </c>
      <c r="Q29" s="58">
        <f t="shared" si="16"/>
        <v>0</v>
      </c>
      <c r="S29" s="59">
        <f t="shared" si="11"/>
        <v>0</v>
      </c>
      <c r="T29" s="59">
        <f t="shared" si="12"/>
        <v>0</v>
      </c>
      <c r="U29" s="59">
        <f t="shared" si="13"/>
        <v>0</v>
      </c>
    </row>
    <row r="30" spans="2:21" outlineLevel="1" x14ac:dyDescent="0.25">
      <c r="B30" s="56" t="str">
        <f>PREMISSAS!I22</f>
        <v>Outros (8% contigência)</v>
      </c>
      <c r="C30" s="56"/>
      <c r="D30" s="56"/>
      <c r="E30" s="58"/>
      <c r="F30" s="58">
        <f>PREMISSAS!L22*3</f>
        <v>456</v>
      </c>
      <c r="G30" s="58">
        <f t="shared" si="14"/>
        <v>456</v>
      </c>
      <c r="H30" s="58">
        <f t="shared" si="14"/>
        <v>456</v>
      </c>
      <c r="I30" s="58">
        <f t="shared" si="14"/>
        <v>456</v>
      </c>
      <c r="J30" s="58">
        <f>I30+(I30*PREMISSAS!$N$16)</f>
        <v>501.6</v>
      </c>
      <c r="K30" s="58">
        <f t="shared" si="15"/>
        <v>501.6</v>
      </c>
      <c r="L30" s="58">
        <f t="shared" si="15"/>
        <v>501.6</v>
      </c>
      <c r="M30" s="58">
        <f t="shared" si="15"/>
        <v>501.6</v>
      </c>
      <c r="N30" s="58">
        <f>M30+(M30*PREMISSAS!$N$16)</f>
        <v>551.76</v>
      </c>
      <c r="O30" s="58">
        <f t="shared" si="16"/>
        <v>551.76</v>
      </c>
      <c r="P30" s="58">
        <f t="shared" si="16"/>
        <v>551.76</v>
      </c>
      <c r="Q30" s="58">
        <f t="shared" si="16"/>
        <v>551.76</v>
      </c>
      <c r="S30" s="59">
        <f t="shared" si="11"/>
        <v>1824</v>
      </c>
      <c r="T30" s="59">
        <f t="shared" si="12"/>
        <v>2006.4</v>
      </c>
      <c r="U30" s="59">
        <f t="shared" si="13"/>
        <v>2207.04</v>
      </c>
    </row>
    <row r="31" spans="2:21" x14ac:dyDescent="0.25">
      <c r="B31" s="23"/>
      <c r="C31" s="23"/>
      <c r="S31" s="42"/>
      <c r="T31" s="42"/>
      <c r="U31" s="42"/>
    </row>
    <row r="32" spans="2:21" x14ac:dyDescent="0.25">
      <c r="B32" s="161" t="s">
        <v>69</v>
      </c>
      <c r="C32" s="161"/>
      <c r="D32" s="161"/>
      <c r="E32" s="55">
        <f t="shared" ref="E32:Q32" si="17">SUM(E33:E47)</f>
        <v>0</v>
      </c>
      <c r="F32" s="55">
        <f t="shared" si="17"/>
        <v>5346</v>
      </c>
      <c r="G32" s="55">
        <f t="shared" si="17"/>
        <v>5346</v>
      </c>
      <c r="H32" s="55">
        <f t="shared" si="17"/>
        <v>5346</v>
      </c>
      <c r="I32" s="55">
        <f t="shared" si="17"/>
        <v>5346</v>
      </c>
      <c r="J32" s="55">
        <f t="shared" si="17"/>
        <v>5880.6</v>
      </c>
      <c r="K32" s="55">
        <f t="shared" si="17"/>
        <v>5880.6</v>
      </c>
      <c r="L32" s="55">
        <f t="shared" si="17"/>
        <v>5880.6</v>
      </c>
      <c r="M32" s="55">
        <f t="shared" si="17"/>
        <v>5880.6</v>
      </c>
      <c r="N32" s="55">
        <f t="shared" si="17"/>
        <v>6468.66</v>
      </c>
      <c r="O32" s="55">
        <f t="shared" si="17"/>
        <v>6468.66</v>
      </c>
      <c r="P32" s="55">
        <f t="shared" si="17"/>
        <v>6468.66</v>
      </c>
      <c r="Q32" s="55">
        <f t="shared" si="17"/>
        <v>6468.66</v>
      </c>
      <c r="S32" s="55">
        <f t="shared" ref="S32:S42" si="18">SUM(F32:I32)</f>
        <v>21384</v>
      </c>
      <c r="T32" s="55">
        <f t="shared" ref="T32:T42" si="19">SUM(J32:M32)</f>
        <v>23522.400000000001</v>
      </c>
      <c r="U32" s="55">
        <f t="shared" ref="U32:U42" si="20">SUM(N32:Q32)</f>
        <v>25874.639999999999</v>
      </c>
    </row>
    <row r="33" spans="2:21" outlineLevel="1" x14ac:dyDescent="0.25">
      <c r="B33" s="147" t="str">
        <f>PREMISSAS!I27</f>
        <v>Aluguel + IPTU</v>
      </c>
      <c r="C33" s="148"/>
      <c r="D33" s="148"/>
      <c r="E33" s="60"/>
      <c r="F33" s="60">
        <f>PREMISSAS!L27*3</f>
        <v>0</v>
      </c>
      <c r="G33" s="60">
        <f t="shared" ref="G33:I45" si="21">F33</f>
        <v>0</v>
      </c>
      <c r="H33" s="60">
        <f t="shared" si="21"/>
        <v>0</v>
      </c>
      <c r="I33" s="60">
        <f t="shared" si="21"/>
        <v>0</v>
      </c>
      <c r="J33" s="60">
        <f>I33+(I33*PREMISSAS!$N$25)</f>
        <v>0</v>
      </c>
      <c r="K33" s="60">
        <f t="shared" ref="K33:M46" si="22">J33</f>
        <v>0</v>
      </c>
      <c r="L33" s="60">
        <f t="shared" si="22"/>
        <v>0</v>
      </c>
      <c r="M33" s="60">
        <f t="shared" si="22"/>
        <v>0</v>
      </c>
      <c r="N33" s="60">
        <f>M33+(M33*PREMISSAS!$N$25)</f>
        <v>0</v>
      </c>
      <c r="O33" s="60">
        <f t="shared" ref="O33:Q46" si="23">N33</f>
        <v>0</v>
      </c>
      <c r="P33" s="60">
        <f t="shared" si="23"/>
        <v>0</v>
      </c>
      <c r="Q33" s="60">
        <f t="shared" si="23"/>
        <v>0</v>
      </c>
      <c r="S33" s="59">
        <f t="shared" si="18"/>
        <v>0</v>
      </c>
      <c r="T33" s="59">
        <f t="shared" si="19"/>
        <v>0</v>
      </c>
      <c r="U33" s="59">
        <f t="shared" si="20"/>
        <v>0</v>
      </c>
    </row>
    <row r="34" spans="2:21" outlineLevel="1" x14ac:dyDescent="0.25">
      <c r="B34" s="147" t="str">
        <f>PREMISSAS!I28</f>
        <v>Energia</v>
      </c>
      <c r="C34" s="148"/>
      <c r="D34" s="148"/>
      <c r="E34" s="60"/>
      <c r="F34" s="60">
        <f>PREMISSAS!L28*3</f>
        <v>0</v>
      </c>
      <c r="G34" s="58">
        <f t="shared" si="21"/>
        <v>0</v>
      </c>
      <c r="H34" s="58">
        <f t="shared" si="21"/>
        <v>0</v>
      </c>
      <c r="I34" s="58">
        <f t="shared" si="21"/>
        <v>0</v>
      </c>
      <c r="J34" s="60">
        <f>I34+(I34*PREMISSAS!$N$25)</f>
        <v>0</v>
      </c>
      <c r="K34" s="58">
        <f t="shared" si="22"/>
        <v>0</v>
      </c>
      <c r="L34" s="58">
        <f t="shared" si="22"/>
        <v>0</v>
      </c>
      <c r="M34" s="58">
        <f t="shared" si="22"/>
        <v>0</v>
      </c>
      <c r="N34" s="60">
        <f>M34+(M34*PREMISSAS!$N$25)</f>
        <v>0</v>
      </c>
      <c r="O34" s="58">
        <f t="shared" si="23"/>
        <v>0</v>
      </c>
      <c r="P34" s="58">
        <f t="shared" si="23"/>
        <v>0</v>
      </c>
      <c r="Q34" s="58">
        <f t="shared" si="23"/>
        <v>0</v>
      </c>
      <c r="S34" s="59">
        <f t="shared" si="18"/>
        <v>0</v>
      </c>
      <c r="T34" s="59">
        <f t="shared" si="19"/>
        <v>0</v>
      </c>
      <c r="U34" s="59">
        <f t="shared" si="20"/>
        <v>0</v>
      </c>
    </row>
    <row r="35" spans="2:21" outlineLevel="1" x14ac:dyDescent="0.25">
      <c r="B35" s="147" t="str">
        <f>PREMISSAS!I29</f>
        <v>Telefone</v>
      </c>
      <c r="C35" s="148"/>
      <c r="D35" s="148"/>
      <c r="E35" s="60"/>
      <c r="F35" s="60">
        <f>PREMISSAS!L29*3</f>
        <v>450</v>
      </c>
      <c r="G35" s="58">
        <f t="shared" si="21"/>
        <v>450</v>
      </c>
      <c r="H35" s="58">
        <f t="shared" si="21"/>
        <v>450</v>
      </c>
      <c r="I35" s="58">
        <f t="shared" si="21"/>
        <v>450</v>
      </c>
      <c r="J35" s="60">
        <f>I35+(I35*PREMISSAS!$N$25)</f>
        <v>495</v>
      </c>
      <c r="K35" s="58">
        <f t="shared" si="22"/>
        <v>495</v>
      </c>
      <c r="L35" s="58">
        <f t="shared" si="22"/>
        <v>495</v>
      </c>
      <c r="M35" s="58">
        <f t="shared" si="22"/>
        <v>495</v>
      </c>
      <c r="N35" s="60">
        <f>M35+(M35*PREMISSAS!$N$25)</f>
        <v>544.5</v>
      </c>
      <c r="O35" s="58">
        <f t="shared" si="23"/>
        <v>544.5</v>
      </c>
      <c r="P35" s="58">
        <f t="shared" si="23"/>
        <v>544.5</v>
      </c>
      <c r="Q35" s="58">
        <f t="shared" si="23"/>
        <v>544.5</v>
      </c>
      <c r="S35" s="59">
        <f t="shared" si="18"/>
        <v>1800</v>
      </c>
      <c r="T35" s="59">
        <f t="shared" si="19"/>
        <v>1980</v>
      </c>
      <c r="U35" s="59">
        <f t="shared" si="20"/>
        <v>2178</v>
      </c>
    </row>
    <row r="36" spans="2:21" outlineLevel="1" x14ac:dyDescent="0.25">
      <c r="B36" s="147" t="str">
        <f>PREMISSAS!I30</f>
        <v>Internet</v>
      </c>
      <c r="C36" s="148"/>
      <c r="D36" s="148"/>
      <c r="E36" s="60"/>
      <c r="F36" s="60">
        <f>PREMISSAS!L30*3</f>
        <v>600</v>
      </c>
      <c r="G36" s="58">
        <f t="shared" si="21"/>
        <v>600</v>
      </c>
      <c r="H36" s="58">
        <f t="shared" si="21"/>
        <v>600</v>
      </c>
      <c r="I36" s="58">
        <f t="shared" si="21"/>
        <v>600</v>
      </c>
      <c r="J36" s="60">
        <f>I36+(I36*PREMISSAS!$N$25)</f>
        <v>660</v>
      </c>
      <c r="K36" s="58">
        <f t="shared" si="22"/>
        <v>660</v>
      </c>
      <c r="L36" s="58">
        <f t="shared" si="22"/>
        <v>660</v>
      </c>
      <c r="M36" s="58">
        <f t="shared" si="22"/>
        <v>660</v>
      </c>
      <c r="N36" s="60">
        <f>M36+(M36*PREMISSAS!$N$25)</f>
        <v>726</v>
      </c>
      <c r="O36" s="58">
        <f t="shared" si="23"/>
        <v>726</v>
      </c>
      <c r="P36" s="58">
        <f t="shared" si="23"/>
        <v>726</v>
      </c>
      <c r="Q36" s="58">
        <f t="shared" si="23"/>
        <v>726</v>
      </c>
      <c r="S36" s="59">
        <f t="shared" si="18"/>
        <v>2400</v>
      </c>
      <c r="T36" s="59">
        <f t="shared" si="19"/>
        <v>2640</v>
      </c>
      <c r="U36" s="59">
        <f t="shared" si="20"/>
        <v>2904</v>
      </c>
    </row>
    <row r="37" spans="2:21" outlineLevel="1" x14ac:dyDescent="0.25">
      <c r="B37" s="147" t="str">
        <f>PREMISSAS!I31</f>
        <v>Água</v>
      </c>
      <c r="C37" s="148"/>
      <c r="D37" s="148"/>
      <c r="E37" s="60"/>
      <c r="F37" s="60">
        <f>PREMISSAS!L31*3</f>
        <v>0</v>
      </c>
      <c r="G37" s="58">
        <f t="shared" si="21"/>
        <v>0</v>
      </c>
      <c r="H37" s="58">
        <f t="shared" si="21"/>
        <v>0</v>
      </c>
      <c r="I37" s="58">
        <f t="shared" si="21"/>
        <v>0</v>
      </c>
      <c r="J37" s="60">
        <f>I37+(I37*PREMISSAS!$N$25)</f>
        <v>0</v>
      </c>
      <c r="K37" s="58">
        <f t="shared" si="22"/>
        <v>0</v>
      </c>
      <c r="L37" s="58">
        <f t="shared" si="22"/>
        <v>0</v>
      </c>
      <c r="M37" s="58">
        <f t="shared" si="22"/>
        <v>0</v>
      </c>
      <c r="N37" s="60">
        <f>M37+(M37*PREMISSAS!$N$25)</f>
        <v>0</v>
      </c>
      <c r="O37" s="58">
        <f t="shared" si="23"/>
        <v>0</v>
      </c>
      <c r="P37" s="58">
        <f t="shared" si="23"/>
        <v>0</v>
      </c>
      <c r="Q37" s="58">
        <f t="shared" si="23"/>
        <v>0</v>
      </c>
      <c r="S37" s="59">
        <f t="shared" si="18"/>
        <v>0</v>
      </c>
      <c r="T37" s="59">
        <f t="shared" si="19"/>
        <v>0</v>
      </c>
      <c r="U37" s="59">
        <f t="shared" si="20"/>
        <v>0</v>
      </c>
    </row>
    <row r="38" spans="2:21" outlineLevel="1" x14ac:dyDescent="0.25">
      <c r="B38" s="147" t="str">
        <f>PREMISSAS!I32</f>
        <v>Condomínio</v>
      </c>
      <c r="C38" s="148"/>
      <c r="D38" s="148"/>
      <c r="E38" s="60"/>
      <c r="F38" s="60">
        <f>PREMISSAS!L32*3</f>
        <v>0</v>
      </c>
      <c r="G38" s="58">
        <f t="shared" si="21"/>
        <v>0</v>
      </c>
      <c r="H38" s="58">
        <f t="shared" si="21"/>
        <v>0</v>
      </c>
      <c r="I38" s="58">
        <f t="shared" si="21"/>
        <v>0</v>
      </c>
      <c r="J38" s="60">
        <f>I38+(I38*PREMISSAS!$N$25)</f>
        <v>0</v>
      </c>
      <c r="K38" s="58">
        <f t="shared" si="22"/>
        <v>0</v>
      </c>
      <c r="L38" s="58">
        <f t="shared" si="22"/>
        <v>0</v>
      </c>
      <c r="M38" s="58">
        <f t="shared" si="22"/>
        <v>0</v>
      </c>
      <c r="N38" s="60">
        <f>M38+(M38*PREMISSAS!$N$25)</f>
        <v>0</v>
      </c>
      <c r="O38" s="58">
        <f t="shared" si="23"/>
        <v>0</v>
      </c>
      <c r="P38" s="58">
        <f t="shared" si="23"/>
        <v>0</v>
      </c>
      <c r="Q38" s="58">
        <f t="shared" si="23"/>
        <v>0</v>
      </c>
      <c r="S38" s="59">
        <f t="shared" si="18"/>
        <v>0</v>
      </c>
      <c r="T38" s="59">
        <f t="shared" si="19"/>
        <v>0</v>
      </c>
      <c r="U38" s="59">
        <f t="shared" si="20"/>
        <v>0</v>
      </c>
    </row>
    <row r="39" spans="2:21" outlineLevel="1" x14ac:dyDescent="0.25">
      <c r="B39" s="147" t="str">
        <f>PREMISSAS!I33</f>
        <v>Transporte</v>
      </c>
      <c r="C39" s="148"/>
      <c r="D39" s="148"/>
      <c r="E39" s="60"/>
      <c r="F39" s="60">
        <f>PREMISSAS!L33*3</f>
        <v>0</v>
      </c>
      <c r="G39" s="58">
        <f t="shared" si="21"/>
        <v>0</v>
      </c>
      <c r="H39" s="58">
        <f t="shared" si="21"/>
        <v>0</v>
      </c>
      <c r="I39" s="58">
        <f t="shared" si="21"/>
        <v>0</v>
      </c>
      <c r="J39" s="60">
        <f>I39+(I39*PREMISSAS!$N$25)</f>
        <v>0</v>
      </c>
      <c r="K39" s="58">
        <f t="shared" si="22"/>
        <v>0</v>
      </c>
      <c r="L39" s="58">
        <f t="shared" si="22"/>
        <v>0</v>
      </c>
      <c r="M39" s="58">
        <f t="shared" si="22"/>
        <v>0</v>
      </c>
      <c r="N39" s="60">
        <f>M39+(M39*PREMISSAS!$N$25)</f>
        <v>0</v>
      </c>
      <c r="O39" s="58">
        <f t="shared" si="23"/>
        <v>0</v>
      </c>
      <c r="P39" s="58">
        <f t="shared" si="23"/>
        <v>0</v>
      </c>
      <c r="Q39" s="58">
        <f t="shared" si="23"/>
        <v>0</v>
      </c>
      <c r="S39" s="59">
        <f t="shared" si="18"/>
        <v>0</v>
      </c>
      <c r="T39" s="59">
        <f t="shared" si="19"/>
        <v>0</v>
      </c>
      <c r="U39" s="59">
        <f t="shared" si="20"/>
        <v>0</v>
      </c>
    </row>
    <row r="40" spans="2:21" outlineLevel="1" x14ac:dyDescent="0.25">
      <c r="B40" s="147" t="str">
        <f>PREMISSAS!I34</f>
        <v>Documentação</v>
      </c>
      <c r="C40" s="148"/>
      <c r="D40" s="148"/>
      <c r="E40" s="60"/>
      <c r="F40" s="60">
        <f>PREMISSAS!L34*3</f>
        <v>300</v>
      </c>
      <c r="G40" s="58">
        <f t="shared" si="21"/>
        <v>300</v>
      </c>
      <c r="H40" s="58">
        <f t="shared" si="21"/>
        <v>300</v>
      </c>
      <c r="I40" s="58">
        <f t="shared" si="21"/>
        <v>300</v>
      </c>
      <c r="J40" s="60">
        <f>I40+(I40*PREMISSAS!$N$25)</f>
        <v>330</v>
      </c>
      <c r="K40" s="58">
        <f t="shared" si="22"/>
        <v>330</v>
      </c>
      <c r="L40" s="58">
        <f t="shared" si="22"/>
        <v>330</v>
      </c>
      <c r="M40" s="58">
        <f t="shared" si="22"/>
        <v>330</v>
      </c>
      <c r="N40" s="60">
        <f>M40+(M40*PREMISSAS!$N$25)</f>
        <v>363</v>
      </c>
      <c r="O40" s="58">
        <f t="shared" si="23"/>
        <v>363</v>
      </c>
      <c r="P40" s="58">
        <f t="shared" si="23"/>
        <v>363</v>
      </c>
      <c r="Q40" s="58">
        <f t="shared" si="23"/>
        <v>363</v>
      </c>
      <c r="S40" s="59">
        <f t="shared" si="18"/>
        <v>1200</v>
      </c>
      <c r="T40" s="59">
        <f t="shared" si="19"/>
        <v>1320</v>
      </c>
      <c r="U40" s="59">
        <f t="shared" si="20"/>
        <v>1452</v>
      </c>
    </row>
    <row r="41" spans="2:21" outlineLevel="1" x14ac:dyDescent="0.25">
      <c r="B41" s="147" t="str">
        <f>PREMISSAS!I35</f>
        <v>Servidores</v>
      </c>
      <c r="C41" s="148"/>
      <c r="D41" s="148"/>
      <c r="E41" s="60"/>
      <c r="F41" s="60">
        <f>PREMISSAS!L35*3</f>
        <v>2400</v>
      </c>
      <c r="G41" s="58">
        <f t="shared" si="21"/>
        <v>2400</v>
      </c>
      <c r="H41" s="58">
        <f t="shared" si="21"/>
        <v>2400</v>
      </c>
      <c r="I41" s="58">
        <f t="shared" si="21"/>
        <v>2400</v>
      </c>
      <c r="J41" s="60">
        <f>I41+(I41*PREMISSAS!$N$25)</f>
        <v>2640</v>
      </c>
      <c r="K41" s="58">
        <f t="shared" si="22"/>
        <v>2640</v>
      </c>
      <c r="L41" s="58">
        <f t="shared" si="22"/>
        <v>2640</v>
      </c>
      <c r="M41" s="58">
        <f t="shared" si="22"/>
        <v>2640</v>
      </c>
      <c r="N41" s="60">
        <f>M41+(M41*PREMISSAS!$N$25)</f>
        <v>2904</v>
      </c>
      <c r="O41" s="58">
        <f t="shared" si="23"/>
        <v>2904</v>
      </c>
      <c r="P41" s="58">
        <f t="shared" si="23"/>
        <v>2904</v>
      </c>
      <c r="Q41" s="58">
        <f t="shared" si="23"/>
        <v>2904</v>
      </c>
      <c r="S41" s="59">
        <f t="shared" si="18"/>
        <v>9600</v>
      </c>
      <c r="T41" s="59">
        <f t="shared" si="19"/>
        <v>10560</v>
      </c>
      <c r="U41" s="59">
        <f t="shared" si="20"/>
        <v>11616</v>
      </c>
    </row>
    <row r="42" spans="2:21" outlineLevel="1" x14ac:dyDescent="0.25">
      <c r="B42" s="147" t="str">
        <f>PREMISSAS!I36</f>
        <v>Segurança</v>
      </c>
      <c r="C42" s="148"/>
      <c r="D42" s="148"/>
      <c r="E42" s="60"/>
      <c r="F42" s="60">
        <f>PREMISSAS!L36*3</f>
        <v>0</v>
      </c>
      <c r="G42" s="58">
        <f t="shared" si="21"/>
        <v>0</v>
      </c>
      <c r="H42" s="58">
        <f t="shared" si="21"/>
        <v>0</v>
      </c>
      <c r="I42" s="58">
        <f t="shared" si="21"/>
        <v>0</v>
      </c>
      <c r="J42" s="60">
        <f>I42+(I42*PREMISSAS!$N$25)</f>
        <v>0</v>
      </c>
      <c r="K42" s="58">
        <f t="shared" si="22"/>
        <v>0</v>
      </c>
      <c r="L42" s="58">
        <f t="shared" si="22"/>
        <v>0</v>
      </c>
      <c r="M42" s="58">
        <f t="shared" si="22"/>
        <v>0</v>
      </c>
      <c r="N42" s="60">
        <f>M42+(M42*PREMISSAS!$N$25)</f>
        <v>0</v>
      </c>
      <c r="O42" s="58">
        <f t="shared" si="23"/>
        <v>0</v>
      </c>
      <c r="P42" s="58">
        <f t="shared" si="23"/>
        <v>0</v>
      </c>
      <c r="Q42" s="58">
        <f t="shared" si="23"/>
        <v>0</v>
      </c>
      <c r="S42" s="59">
        <f t="shared" si="18"/>
        <v>0</v>
      </c>
      <c r="T42" s="59">
        <f t="shared" si="19"/>
        <v>0</v>
      </c>
      <c r="U42" s="59">
        <f t="shared" si="20"/>
        <v>0</v>
      </c>
    </row>
    <row r="43" spans="2:21" outlineLevel="1" x14ac:dyDescent="0.25">
      <c r="B43" s="147" t="str">
        <f>PREMISSAS!I37</f>
        <v>Materiais de Escritório</v>
      </c>
      <c r="C43" s="148"/>
      <c r="D43" s="148"/>
      <c r="E43" s="60"/>
      <c r="F43" s="60">
        <f>PREMISSAS!L37*3</f>
        <v>150</v>
      </c>
      <c r="G43" s="58">
        <f t="shared" si="21"/>
        <v>150</v>
      </c>
      <c r="H43" s="58">
        <f t="shared" si="21"/>
        <v>150</v>
      </c>
      <c r="I43" s="58">
        <f t="shared" si="21"/>
        <v>150</v>
      </c>
      <c r="J43" s="60">
        <f>I43+(I43*PREMISSAS!$N$25)</f>
        <v>165</v>
      </c>
      <c r="K43" s="58">
        <f t="shared" si="22"/>
        <v>165</v>
      </c>
      <c r="L43" s="58">
        <f t="shared" si="22"/>
        <v>165</v>
      </c>
      <c r="M43" s="58">
        <f t="shared" si="22"/>
        <v>165</v>
      </c>
      <c r="N43" s="60">
        <f>M43+(M43*PREMISSAS!$N$25)</f>
        <v>181.5</v>
      </c>
      <c r="O43" s="58">
        <f t="shared" si="23"/>
        <v>181.5</v>
      </c>
      <c r="P43" s="58">
        <f t="shared" si="23"/>
        <v>181.5</v>
      </c>
      <c r="Q43" s="58">
        <f t="shared" si="23"/>
        <v>181.5</v>
      </c>
      <c r="S43" s="59">
        <f t="shared" ref="S43:S44" si="24">SUM(F43:I43)</f>
        <v>600</v>
      </c>
      <c r="T43" s="59">
        <f t="shared" ref="T43:T44" si="25">SUM(J43:M43)</f>
        <v>660</v>
      </c>
      <c r="U43" s="59">
        <f t="shared" ref="U43:U44" si="26">SUM(N43:Q43)</f>
        <v>726</v>
      </c>
    </row>
    <row r="44" spans="2:21" outlineLevel="1" x14ac:dyDescent="0.25">
      <c r="B44" s="147" t="str">
        <f>PREMISSAS!I38</f>
        <v>Materiais de Limpeza</v>
      </c>
      <c r="C44" s="148"/>
      <c r="D44" s="148"/>
      <c r="E44" s="60"/>
      <c r="F44" s="60">
        <f>PREMISSAS!L38*3</f>
        <v>0</v>
      </c>
      <c r="G44" s="58">
        <f t="shared" si="21"/>
        <v>0</v>
      </c>
      <c r="H44" s="58">
        <f t="shared" si="21"/>
        <v>0</v>
      </c>
      <c r="I44" s="58">
        <f t="shared" si="21"/>
        <v>0</v>
      </c>
      <c r="J44" s="60">
        <f>I44+(I44*PREMISSAS!$N$25)</f>
        <v>0</v>
      </c>
      <c r="K44" s="58">
        <f t="shared" si="22"/>
        <v>0</v>
      </c>
      <c r="L44" s="58">
        <f t="shared" si="22"/>
        <v>0</v>
      </c>
      <c r="M44" s="58">
        <f t="shared" si="22"/>
        <v>0</v>
      </c>
      <c r="N44" s="60">
        <f>M44+(M44*PREMISSAS!$N$25)</f>
        <v>0</v>
      </c>
      <c r="O44" s="58">
        <f t="shared" si="23"/>
        <v>0</v>
      </c>
      <c r="P44" s="58">
        <f t="shared" si="23"/>
        <v>0</v>
      </c>
      <c r="Q44" s="58">
        <f t="shared" si="23"/>
        <v>0</v>
      </c>
      <c r="S44" s="59">
        <f t="shared" si="24"/>
        <v>0</v>
      </c>
      <c r="T44" s="59">
        <f t="shared" si="25"/>
        <v>0</v>
      </c>
      <c r="U44" s="59">
        <f t="shared" si="26"/>
        <v>0</v>
      </c>
    </row>
    <row r="45" spans="2:21" outlineLevel="1" x14ac:dyDescent="0.25">
      <c r="B45" s="147" t="str">
        <f>PREMISSAS!I39</f>
        <v>Cartório e Correios</v>
      </c>
      <c r="C45" s="148"/>
      <c r="D45" s="148"/>
      <c r="E45" s="60"/>
      <c r="F45" s="60">
        <f>PREMISSAS!L39*3</f>
        <v>150</v>
      </c>
      <c r="G45" s="58">
        <f t="shared" si="21"/>
        <v>150</v>
      </c>
      <c r="H45" s="58">
        <f t="shared" si="21"/>
        <v>150</v>
      </c>
      <c r="I45" s="58">
        <f t="shared" si="21"/>
        <v>150</v>
      </c>
      <c r="J45" s="60">
        <f>I45+(I45*PREMISSAS!$N$25)</f>
        <v>165</v>
      </c>
      <c r="K45" s="58">
        <f t="shared" si="22"/>
        <v>165</v>
      </c>
      <c r="L45" s="58">
        <f t="shared" si="22"/>
        <v>165</v>
      </c>
      <c r="M45" s="58">
        <f t="shared" si="22"/>
        <v>165</v>
      </c>
      <c r="N45" s="60">
        <f>M45+(M45*PREMISSAS!$N$25)</f>
        <v>181.5</v>
      </c>
      <c r="O45" s="58">
        <f t="shared" si="23"/>
        <v>181.5</v>
      </c>
      <c r="P45" s="58">
        <f t="shared" si="23"/>
        <v>181.5</v>
      </c>
      <c r="Q45" s="58">
        <f t="shared" si="23"/>
        <v>181.5</v>
      </c>
      <c r="S45" s="59">
        <f t="shared" ref="S45:S47" si="27">SUM(F45:I45)</f>
        <v>600</v>
      </c>
      <c r="T45" s="59">
        <f t="shared" ref="T45:T47" si="28">SUM(J45:M45)</f>
        <v>660</v>
      </c>
      <c r="U45" s="59">
        <f t="shared" ref="U45:U47" si="29">SUM(N45:Q45)</f>
        <v>726</v>
      </c>
    </row>
    <row r="46" spans="2:21" outlineLevel="1" x14ac:dyDescent="0.25">
      <c r="B46" s="147" t="str">
        <f>PREMISSAS!I40</f>
        <v>Sistemas de Informação</v>
      </c>
      <c r="C46" s="148"/>
      <c r="D46" s="148"/>
      <c r="E46" s="60"/>
      <c r="F46" s="60">
        <f>PREMISSAS!L40*3</f>
        <v>900</v>
      </c>
      <c r="G46" s="58">
        <f>F46</f>
        <v>900</v>
      </c>
      <c r="H46" s="58">
        <f>G46</f>
        <v>900</v>
      </c>
      <c r="I46" s="58">
        <f t="shared" ref="I46" si="30">H46</f>
        <v>900</v>
      </c>
      <c r="J46" s="60">
        <f>I46+(I46*PREMISSAS!$N$25)</f>
        <v>990</v>
      </c>
      <c r="K46" s="58">
        <f t="shared" si="22"/>
        <v>990</v>
      </c>
      <c r="L46" s="58">
        <f t="shared" si="22"/>
        <v>990</v>
      </c>
      <c r="M46" s="58">
        <f t="shared" si="22"/>
        <v>990</v>
      </c>
      <c r="N46" s="60">
        <f>M46+(M46*PREMISSAS!$N$25)</f>
        <v>1089</v>
      </c>
      <c r="O46" s="58">
        <f t="shared" si="23"/>
        <v>1089</v>
      </c>
      <c r="P46" s="58">
        <f t="shared" si="23"/>
        <v>1089</v>
      </c>
      <c r="Q46" s="58">
        <f t="shared" si="23"/>
        <v>1089</v>
      </c>
      <c r="S46" s="59">
        <f t="shared" si="27"/>
        <v>3600</v>
      </c>
      <c r="T46" s="59">
        <f t="shared" si="28"/>
        <v>3960</v>
      </c>
      <c r="U46" s="59">
        <f t="shared" si="29"/>
        <v>4356</v>
      </c>
    </row>
    <row r="47" spans="2:21" outlineLevel="1" x14ac:dyDescent="0.25">
      <c r="B47" s="147" t="str">
        <f>PREMISSAS!I41</f>
        <v>Outros (8% contigência)</v>
      </c>
      <c r="C47" s="148"/>
      <c r="D47" s="148"/>
      <c r="E47" s="60"/>
      <c r="F47" s="60">
        <f>PREMISSAS!L41*3</f>
        <v>396</v>
      </c>
      <c r="G47" s="58">
        <f>F47</f>
        <v>396</v>
      </c>
      <c r="H47" s="58">
        <f>G47</f>
        <v>396</v>
      </c>
      <c r="I47" s="58">
        <f t="shared" ref="I47" si="31">H47</f>
        <v>396</v>
      </c>
      <c r="J47" s="60">
        <f>I47+(I47*PREMISSAS!$N$25)</f>
        <v>435.6</v>
      </c>
      <c r="K47" s="58">
        <f t="shared" ref="K47" si="32">J47</f>
        <v>435.6</v>
      </c>
      <c r="L47" s="58">
        <f t="shared" ref="L47" si="33">K47</f>
        <v>435.6</v>
      </c>
      <c r="M47" s="58">
        <f t="shared" ref="M47" si="34">L47</f>
        <v>435.6</v>
      </c>
      <c r="N47" s="60">
        <f>M47+(M47*PREMISSAS!$N$25)</f>
        <v>479.16</v>
      </c>
      <c r="O47" s="58">
        <f t="shared" ref="O47" si="35">N47</f>
        <v>479.16</v>
      </c>
      <c r="P47" s="58">
        <f t="shared" ref="P47" si="36">O47</f>
        <v>479.16</v>
      </c>
      <c r="Q47" s="58">
        <f t="shared" ref="Q47" si="37">P47</f>
        <v>479.16</v>
      </c>
      <c r="S47" s="59">
        <f t="shared" si="27"/>
        <v>1584</v>
      </c>
      <c r="T47" s="59">
        <f t="shared" si="28"/>
        <v>1742.4</v>
      </c>
      <c r="U47" s="59">
        <f t="shared" si="29"/>
        <v>1916.64</v>
      </c>
    </row>
    <row r="48" spans="2:21" ht="15" customHeight="1" x14ac:dyDescent="0.25">
      <c r="B48" s="23"/>
      <c r="C48" s="23"/>
    </row>
    <row r="49" spans="2:21" ht="15" customHeight="1" x14ac:dyDescent="0.25">
      <c r="B49" s="164" t="s">
        <v>78</v>
      </c>
      <c r="C49" s="164"/>
      <c r="D49" s="164"/>
      <c r="E49" s="61">
        <f>SUM(E50:E53)</f>
        <v>8500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S49" s="61">
        <f>SUM(E49:Q49)</f>
        <v>8500</v>
      </c>
      <c r="T49" s="61">
        <f>SUM(J49:M49)</f>
        <v>0</v>
      </c>
      <c r="U49" s="61">
        <f>SUM(N49:Q49)</f>
        <v>0</v>
      </c>
    </row>
    <row r="50" spans="2:21" ht="15" customHeight="1" outlineLevel="1" x14ac:dyDescent="0.25">
      <c r="B50" s="157" t="str">
        <f>PREMISSAS!Q18</f>
        <v>Investimento Inicial - Reformas</v>
      </c>
      <c r="C50" s="157"/>
      <c r="D50" s="157"/>
      <c r="E50" s="62">
        <f>PREMISSAS!T18</f>
        <v>0</v>
      </c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S50" s="63">
        <f>SUM(E50:I50)</f>
        <v>0</v>
      </c>
      <c r="T50" s="63">
        <f t="shared" ref="T50:T53" si="38">SUM(J50:M50)</f>
        <v>0</v>
      </c>
      <c r="U50" s="63">
        <f t="shared" ref="U50:U53" si="39">SUM(N50:Q50)</f>
        <v>0</v>
      </c>
    </row>
    <row r="51" spans="2:21" ht="15" customHeight="1" outlineLevel="1" x14ac:dyDescent="0.25">
      <c r="B51" s="157" t="str">
        <f>PREMISSAS!Q19</f>
        <v>Investimento Inicial - Máquinas / Equip.</v>
      </c>
      <c r="C51" s="157"/>
      <c r="D51" s="157"/>
      <c r="E51" s="62">
        <f>PREMISSAS!T19</f>
        <v>3000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S51" s="63">
        <f t="shared" ref="S51:S53" si="40">SUM(E51:I51)</f>
        <v>3000</v>
      </c>
      <c r="T51" s="63">
        <f t="shared" si="38"/>
        <v>0</v>
      </c>
      <c r="U51" s="63">
        <f t="shared" si="39"/>
        <v>0</v>
      </c>
    </row>
    <row r="52" spans="2:21" ht="15" customHeight="1" outlineLevel="1" x14ac:dyDescent="0.25">
      <c r="B52" s="157" t="str">
        <f>PREMISSAS!Q20</f>
        <v>Investimento Inicial - Mobília</v>
      </c>
      <c r="C52" s="157"/>
      <c r="D52" s="157"/>
      <c r="E52" s="62">
        <f>PREMISSAS!T20</f>
        <v>500</v>
      </c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S52" s="63">
        <f t="shared" si="40"/>
        <v>500</v>
      </c>
      <c r="T52" s="63">
        <f t="shared" si="38"/>
        <v>0</v>
      </c>
      <c r="U52" s="63">
        <f t="shared" si="39"/>
        <v>0</v>
      </c>
    </row>
    <row r="53" spans="2:21" ht="15" customHeight="1" outlineLevel="1" x14ac:dyDescent="0.25">
      <c r="B53" s="157" t="str">
        <f>PREMISSAS!Q21</f>
        <v>Investimento Inicial - Outros</v>
      </c>
      <c r="C53" s="157"/>
      <c r="D53" s="157"/>
      <c r="E53" s="62">
        <f>PREMISSAS!T21</f>
        <v>5000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S53" s="63">
        <f t="shared" si="40"/>
        <v>5000</v>
      </c>
      <c r="T53" s="63">
        <f t="shared" si="38"/>
        <v>0</v>
      </c>
      <c r="U53" s="63">
        <f t="shared" si="39"/>
        <v>0</v>
      </c>
    </row>
    <row r="54" spans="2:21" ht="15" customHeight="1" x14ac:dyDescent="0.25">
      <c r="B54" s="23"/>
      <c r="C54" s="23"/>
    </row>
    <row r="55" spans="2:21" ht="15" customHeight="1" x14ac:dyDescent="0.25">
      <c r="B55" s="164" t="s">
        <v>79</v>
      </c>
      <c r="C55" s="164"/>
      <c r="D55" s="164"/>
      <c r="E55" s="61"/>
      <c r="F55" s="61">
        <f>SUM(F56:F60)</f>
        <v>4860</v>
      </c>
      <c r="G55" s="61">
        <f t="shared" ref="G55:Q55" si="41">SUM(G56:G60)</f>
        <v>4860</v>
      </c>
      <c r="H55" s="61">
        <f t="shared" si="41"/>
        <v>4860</v>
      </c>
      <c r="I55" s="61">
        <f t="shared" si="41"/>
        <v>4860</v>
      </c>
      <c r="J55" s="61">
        <f t="shared" si="41"/>
        <v>5832</v>
      </c>
      <c r="K55" s="61">
        <f t="shared" si="41"/>
        <v>5832</v>
      </c>
      <c r="L55" s="61">
        <f t="shared" si="41"/>
        <v>5832</v>
      </c>
      <c r="M55" s="61">
        <f t="shared" si="41"/>
        <v>5832</v>
      </c>
      <c r="N55" s="61">
        <f t="shared" si="41"/>
        <v>6998.4</v>
      </c>
      <c r="O55" s="61">
        <f t="shared" si="41"/>
        <v>6998.4</v>
      </c>
      <c r="P55" s="61">
        <f t="shared" si="41"/>
        <v>6998.4</v>
      </c>
      <c r="Q55" s="61">
        <f t="shared" si="41"/>
        <v>6998.4</v>
      </c>
      <c r="S55" s="61">
        <f>SUM(F55:I55)</f>
        <v>19440</v>
      </c>
      <c r="T55" s="61">
        <f>SUM(J55:M55)</f>
        <v>23328</v>
      </c>
      <c r="U55" s="61">
        <f>SUM(N55:Q55)</f>
        <v>27993.599999999999</v>
      </c>
    </row>
    <row r="56" spans="2:21" ht="15" customHeight="1" outlineLevel="1" x14ac:dyDescent="0.25">
      <c r="B56" s="157" t="str">
        <f>PREMISSAS!Q26</f>
        <v>Marketing Online</v>
      </c>
      <c r="C56" s="157"/>
      <c r="D56" s="157"/>
      <c r="E56" s="62"/>
      <c r="F56" s="62">
        <f>PREMISSAS!T26*3</f>
        <v>1800</v>
      </c>
      <c r="G56" s="62">
        <f t="shared" ref="G56:I60" si="42">F56</f>
        <v>1800</v>
      </c>
      <c r="H56" s="62">
        <f t="shared" si="42"/>
        <v>1800</v>
      </c>
      <c r="I56" s="62">
        <f t="shared" si="42"/>
        <v>1800</v>
      </c>
      <c r="J56" s="62">
        <f>I56+(I56*PREMISSAS!$V$24)</f>
        <v>2160</v>
      </c>
      <c r="K56" s="62">
        <f t="shared" ref="K56:M60" si="43">J56</f>
        <v>2160</v>
      </c>
      <c r="L56" s="62">
        <f t="shared" si="43"/>
        <v>2160</v>
      </c>
      <c r="M56" s="62">
        <f t="shared" si="43"/>
        <v>2160</v>
      </c>
      <c r="N56" s="62">
        <f>M56+(M56*PREMISSAS!$V$24)</f>
        <v>2592</v>
      </c>
      <c r="O56" s="62">
        <f t="shared" ref="O56:Q60" si="44">N56</f>
        <v>2592</v>
      </c>
      <c r="P56" s="62">
        <f t="shared" si="44"/>
        <v>2592</v>
      </c>
      <c r="Q56" s="62">
        <f t="shared" si="44"/>
        <v>2592</v>
      </c>
      <c r="S56" s="63">
        <f t="shared" ref="S56:S60" si="45">SUM(F56:I56)</f>
        <v>7200</v>
      </c>
      <c r="T56" s="63">
        <f t="shared" ref="T56:T60" si="46">SUM(J56:M56)</f>
        <v>8640</v>
      </c>
      <c r="U56" s="63">
        <f t="shared" ref="U56:U60" si="47">SUM(N56:Q56)</f>
        <v>10368</v>
      </c>
    </row>
    <row r="57" spans="2:21" ht="15" customHeight="1" outlineLevel="1" x14ac:dyDescent="0.25">
      <c r="B57" s="157" t="str">
        <f>PREMISSAS!Q27</f>
        <v>Marketing Offline</v>
      </c>
      <c r="C57" s="157"/>
      <c r="D57" s="157"/>
      <c r="E57" s="62"/>
      <c r="F57" s="62">
        <f>PREMISSAS!T27*3</f>
        <v>600</v>
      </c>
      <c r="G57" s="62">
        <f t="shared" si="42"/>
        <v>600</v>
      </c>
      <c r="H57" s="62">
        <f t="shared" si="42"/>
        <v>600</v>
      </c>
      <c r="I57" s="62">
        <f t="shared" si="42"/>
        <v>600</v>
      </c>
      <c r="J57" s="62">
        <f>I57+(I57*PREMISSAS!$V$24)</f>
        <v>720</v>
      </c>
      <c r="K57" s="62">
        <f t="shared" si="43"/>
        <v>720</v>
      </c>
      <c r="L57" s="62">
        <f t="shared" si="43"/>
        <v>720</v>
      </c>
      <c r="M57" s="62">
        <f t="shared" si="43"/>
        <v>720</v>
      </c>
      <c r="N57" s="62">
        <f>M57+(M57*PREMISSAS!$V$24)</f>
        <v>864</v>
      </c>
      <c r="O57" s="62">
        <f t="shared" si="44"/>
        <v>864</v>
      </c>
      <c r="P57" s="62">
        <f t="shared" si="44"/>
        <v>864</v>
      </c>
      <c r="Q57" s="62">
        <f t="shared" si="44"/>
        <v>864</v>
      </c>
      <c r="S57" s="63">
        <f t="shared" si="45"/>
        <v>2400</v>
      </c>
      <c r="T57" s="63">
        <f t="shared" si="46"/>
        <v>2880</v>
      </c>
      <c r="U57" s="63">
        <f t="shared" si="47"/>
        <v>3456</v>
      </c>
    </row>
    <row r="58" spans="2:21" ht="15" customHeight="1" outlineLevel="1" x14ac:dyDescent="0.25">
      <c r="B58" s="157" t="str">
        <f>PREMISSAS!Q28</f>
        <v>Treinamento / Capacitação</v>
      </c>
      <c r="C58" s="157"/>
      <c r="D58" s="157"/>
      <c r="E58" s="62"/>
      <c r="F58" s="62">
        <f>PREMISSAS!T28*3</f>
        <v>900</v>
      </c>
      <c r="G58" s="62">
        <f t="shared" si="42"/>
        <v>900</v>
      </c>
      <c r="H58" s="62">
        <f t="shared" si="42"/>
        <v>900</v>
      </c>
      <c r="I58" s="62">
        <f t="shared" si="42"/>
        <v>900</v>
      </c>
      <c r="J58" s="62">
        <f>I58+(I58*PREMISSAS!$V$24)</f>
        <v>1080</v>
      </c>
      <c r="K58" s="62">
        <f t="shared" si="43"/>
        <v>1080</v>
      </c>
      <c r="L58" s="62">
        <f t="shared" si="43"/>
        <v>1080</v>
      </c>
      <c r="M58" s="62">
        <f t="shared" si="43"/>
        <v>1080</v>
      </c>
      <c r="N58" s="62">
        <f>M58+(M58*PREMISSAS!$V$24)</f>
        <v>1296</v>
      </c>
      <c r="O58" s="62">
        <f t="shared" si="44"/>
        <v>1296</v>
      </c>
      <c r="P58" s="62">
        <f t="shared" si="44"/>
        <v>1296</v>
      </c>
      <c r="Q58" s="62">
        <f t="shared" si="44"/>
        <v>1296</v>
      </c>
      <c r="S58" s="63">
        <f t="shared" si="45"/>
        <v>3600</v>
      </c>
      <c r="T58" s="63">
        <f t="shared" si="46"/>
        <v>4320</v>
      </c>
      <c r="U58" s="63">
        <f t="shared" si="47"/>
        <v>5184</v>
      </c>
    </row>
    <row r="59" spans="2:21" ht="15" customHeight="1" outlineLevel="1" x14ac:dyDescent="0.25">
      <c r="B59" s="157" t="str">
        <f>PREMISSAS!Q29</f>
        <v>Novos Produtos</v>
      </c>
      <c r="C59" s="157"/>
      <c r="D59" s="157"/>
      <c r="E59" s="62"/>
      <c r="F59" s="62">
        <f>PREMISSAS!T29*3</f>
        <v>1200</v>
      </c>
      <c r="G59" s="62">
        <f t="shared" si="42"/>
        <v>1200</v>
      </c>
      <c r="H59" s="62">
        <f t="shared" si="42"/>
        <v>1200</v>
      </c>
      <c r="I59" s="62">
        <f t="shared" si="42"/>
        <v>1200</v>
      </c>
      <c r="J59" s="62">
        <f>I59+(I59*PREMISSAS!$V$24)</f>
        <v>1440</v>
      </c>
      <c r="K59" s="62">
        <f t="shared" si="43"/>
        <v>1440</v>
      </c>
      <c r="L59" s="62">
        <f t="shared" si="43"/>
        <v>1440</v>
      </c>
      <c r="M59" s="62">
        <f t="shared" si="43"/>
        <v>1440</v>
      </c>
      <c r="N59" s="62">
        <f>M59+(M59*PREMISSAS!$V$24)</f>
        <v>1728</v>
      </c>
      <c r="O59" s="62">
        <f t="shared" si="44"/>
        <v>1728</v>
      </c>
      <c r="P59" s="62">
        <f t="shared" si="44"/>
        <v>1728</v>
      </c>
      <c r="Q59" s="62">
        <f t="shared" si="44"/>
        <v>1728</v>
      </c>
      <c r="S59" s="63">
        <f t="shared" si="45"/>
        <v>4800</v>
      </c>
      <c r="T59" s="63">
        <f t="shared" si="46"/>
        <v>5760</v>
      </c>
      <c r="U59" s="63">
        <f t="shared" si="47"/>
        <v>6912</v>
      </c>
    </row>
    <row r="60" spans="2:21" ht="15" customHeight="1" outlineLevel="1" x14ac:dyDescent="0.25">
      <c r="B60" s="157" t="str">
        <f>PREMISSAS!Q30</f>
        <v>Outros (8% contigência)</v>
      </c>
      <c r="C60" s="157"/>
      <c r="D60" s="157"/>
      <c r="E60" s="62"/>
      <c r="F60" s="62">
        <f>PREMISSAS!T30*3</f>
        <v>360</v>
      </c>
      <c r="G60" s="62">
        <f t="shared" si="42"/>
        <v>360</v>
      </c>
      <c r="H60" s="62">
        <f t="shared" si="42"/>
        <v>360</v>
      </c>
      <c r="I60" s="62">
        <f t="shared" si="42"/>
        <v>360</v>
      </c>
      <c r="J60" s="62">
        <f>I60+(I60*PREMISSAS!$V$24)</f>
        <v>432</v>
      </c>
      <c r="K60" s="62">
        <f t="shared" si="43"/>
        <v>432</v>
      </c>
      <c r="L60" s="62">
        <f t="shared" si="43"/>
        <v>432</v>
      </c>
      <c r="M60" s="62">
        <f t="shared" si="43"/>
        <v>432</v>
      </c>
      <c r="N60" s="62">
        <f>M60+(M60*PREMISSAS!$V$24)</f>
        <v>518.4</v>
      </c>
      <c r="O60" s="62">
        <f t="shared" si="44"/>
        <v>518.4</v>
      </c>
      <c r="P60" s="62">
        <f t="shared" si="44"/>
        <v>518.4</v>
      </c>
      <c r="Q60" s="62">
        <f t="shared" si="44"/>
        <v>518.4</v>
      </c>
      <c r="S60" s="63">
        <f t="shared" si="45"/>
        <v>1440</v>
      </c>
      <c r="T60" s="63">
        <f t="shared" si="46"/>
        <v>1728</v>
      </c>
      <c r="U60" s="63">
        <f t="shared" si="47"/>
        <v>2073.6</v>
      </c>
    </row>
    <row r="61" spans="2:21" ht="15" customHeight="1" x14ac:dyDescent="0.25">
      <c r="B61" s="23"/>
      <c r="C61" s="23"/>
    </row>
    <row r="62" spans="2:21" ht="15" customHeight="1" x14ac:dyDescent="0.25">
      <c r="B62" s="165" t="s">
        <v>93</v>
      </c>
      <c r="C62" s="165"/>
      <c r="D62" s="165"/>
      <c r="E62" s="64"/>
      <c r="F62" s="64">
        <f>SUM(F63:F72)</f>
        <v>2640.0000000000005</v>
      </c>
      <c r="G62" s="64">
        <f t="shared" ref="G62:I62" si="48">SUM(G63:G72)</f>
        <v>2640.0000000000005</v>
      </c>
      <c r="H62" s="64">
        <f t="shared" si="48"/>
        <v>2640.0000000000005</v>
      </c>
      <c r="I62" s="64">
        <f t="shared" si="48"/>
        <v>2640.0000000000005</v>
      </c>
      <c r="J62" s="64">
        <f>SUM(J63:J72)*(1+RH!$F$5*1)</f>
        <v>5808.0000000000018</v>
      </c>
      <c r="K62" s="64">
        <f>SUM(K63:K72)+SUM(K63:K72)*RH!$F$5</f>
        <v>5808.0000000000009</v>
      </c>
      <c r="L62" s="64">
        <f>SUM(L63:L72)+SUM(L63:L72)*RH!$F$5</f>
        <v>5808.0000000000009</v>
      </c>
      <c r="M62" s="64">
        <f>SUM(M63:M72)+SUM(M63:M72)*RH!$F$5</f>
        <v>5808.0000000000009</v>
      </c>
      <c r="N62" s="64">
        <f>SUM(N63:N72)*(1+RH!$F$5*2)</f>
        <v>6336.0000000000009</v>
      </c>
      <c r="O62" s="64">
        <f>SUM(O63:O72)*(1+RH!$F$5*2)</f>
        <v>6336.0000000000009</v>
      </c>
      <c r="P62" s="64">
        <f>SUM(P63:P72)*(1+RH!$F$5*2)</f>
        <v>6336.0000000000009</v>
      </c>
      <c r="Q62" s="64">
        <f>SUM(Q63:Q72)*(1+RH!$F$5*2)</f>
        <v>6336.0000000000009</v>
      </c>
      <c r="S62" s="64">
        <f>SUM(F62:I62)</f>
        <v>10560.000000000002</v>
      </c>
      <c r="T62" s="64">
        <f>SUM(J62:M62)</f>
        <v>23232.000000000004</v>
      </c>
      <c r="U62" s="64">
        <f>SUM(N62:Q62)</f>
        <v>25344.000000000004</v>
      </c>
    </row>
    <row r="63" spans="2:21" ht="15" customHeight="1" outlineLevel="1" x14ac:dyDescent="0.25">
      <c r="B63" s="162" t="str">
        <f>RH!B5</f>
        <v>CEO / Estratégia</v>
      </c>
      <c r="C63" s="163"/>
      <c r="D63" s="163"/>
      <c r="E63" s="65"/>
      <c r="F63" s="65">
        <f>RH!D19*RH!$E$5</f>
        <v>880.00000000000011</v>
      </c>
      <c r="G63" s="65">
        <f>RH!E19*RH!$E$5</f>
        <v>880.00000000000011</v>
      </c>
      <c r="H63" s="65">
        <f>RH!F19*RH!$E$5</f>
        <v>880.00000000000011</v>
      </c>
      <c r="I63" s="65">
        <f>RH!G19*RH!$E$5</f>
        <v>880.00000000000011</v>
      </c>
      <c r="J63" s="65">
        <f>RH!H19*RH!$E$5</f>
        <v>880.00000000000011</v>
      </c>
      <c r="K63" s="65">
        <f>RH!I19*RH!$E$5</f>
        <v>880.00000000000011</v>
      </c>
      <c r="L63" s="65">
        <f>RH!J19*RH!$E$5</f>
        <v>880.00000000000011</v>
      </c>
      <c r="M63" s="65">
        <f>RH!K19*RH!$E$5</f>
        <v>880.00000000000011</v>
      </c>
      <c r="N63" s="65">
        <f>RH!L19*RH!$E$5</f>
        <v>880.00000000000011</v>
      </c>
      <c r="O63" s="65">
        <f>RH!M19*RH!$E$5</f>
        <v>880.00000000000011</v>
      </c>
      <c r="P63" s="65">
        <f>RH!N19*RH!$E$5</f>
        <v>880.00000000000011</v>
      </c>
      <c r="Q63" s="65">
        <f>RH!O19*RH!$E$5</f>
        <v>880.00000000000011</v>
      </c>
      <c r="S63" s="66">
        <f t="shared" ref="S63:S72" si="49">SUM(F63:I63)</f>
        <v>3520.0000000000005</v>
      </c>
      <c r="T63" s="66">
        <f t="shared" ref="T63:T72" si="50">SUM(J63:M63)</f>
        <v>3520.0000000000005</v>
      </c>
      <c r="U63" s="66">
        <f t="shared" ref="U63:U72" si="51">SUM(N63:Q63)</f>
        <v>3520.0000000000005</v>
      </c>
    </row>
    <row r="64" spans="2:21" ht="15" customHeight="1" outlineLevel="1" x14ac:dyDescent="0.25">
      <c r="B64" s="162" t="str">
        <f>RH!B6</f>
        <v>CTO / Arquitetura</v>
      </c>
      <c r="C64" s="163"/>
      <c r="D64" s="163"/>
      <c r="E64" s="65"/>
      <c r="F64" s="65">
        <f>RH!D20*RH!$E$6</f>
        <v>880.00000000000011</v>
      </c>
      <c r="G64" s="67">
        <f>RH!E20*RH!$E$6</f>
        <v>880.00000000000011</v>
      </c>
      <c r="H64" s="67">
        <f>RH!F20*RH!$E$6</f>
        <v>880.00000000000011</v>
      </c>
      <c r="I64" s="67">
        <f>RH!G20*RH!$E$6</f>
        <v>880.00000000000011</v>
      </c>
      <c r="J64" s="65">
        <f>RH!H20*RH!$E$6</f>
        <v>880.00000000000011</v>
      </c>
      <c r="K64" s="67">
        <f>RH!I20*RH!$E$6</f>
        <v>880.00000000000011</v>
      </c>
      <c r="L64" s="67">
        <f>RH!J20*RH!$E$6</f>
        <v>880.00000000000011</v>
      </c>
      <c r="M64" s="67">
        <f>RH!K20*RH!$E$6</f>
        <v>880.00000000000011</v>
      </c>
      <c r="N64" s="65">
        <f>RH!L20*RH!$E$6</f>
        <v>880.00000000000011</v>
      </c>
      <c r="O64" s="67">
        <f>RH!M20*RH!$E$6</f>
        <v>880.00000000000011</v>
      </c>
      <c r="P64" s="67">
        <f>RH!N20*RH!$E$6</f>
        <v>880.00000000000011</v>
      </c>
      <c r="Q64" s="67">
        <f>RH!O20*RH!$E$6</f>
        <v>880.00000000000011</v>
      </c>
      <c r="S64" s="66">
        <f t="shared" si="49"/>
        <v>3520.0000000000005</v>
      </c>
      <c r="T64" s="66">
        <f t="shared" si="50"/>
        <v>3520.0000000000005</v>
      </c>
      <c r="U64" s="66">
        <f t="shared" si="51"/>
        <v>3520.0000000000005</v>
      </c>
    </row>
    <row r="65" spans="2:21" ht="15" customHeight="1" outlineLevel="1" x14ac:dyDescent="0.25">
      <c r="B65" s="162" t="str">
        <f>RH!B7</f>
        <v>Dev Full-Stack</v>
      </c>
      <c r="C65" s="163"/>
      <c r="D65" s="163"/>
      <c r="E65" s="65"/>
      <c r="F65" s="65">
        <f>RH!D21*RH!$E$7</f>
        <v>880.00000000000011</v>
      </c>
      <c r="G65" s="67">
        <f>RH!E21*RH!$E$7</f>
        <v>880.00000000000011</v>
      </c>
      <c r="H65" s="67">
        <f>RH!F21*RH!$E$7</f>
        <v>880.00000000000011</v>
      </c>
      <c r="I65" s="67">
        <f>RH!G21*RH!$E$7</f>
        <v>880.00000000000011</v>
      </c>
      <c r="J65" s="65">
        <f>RH!H21*RH!$E$7</f>
        <v>880.00000000000011</v>
      </c>
      <c r="K65" s="67">
        <f>RH!I21*RH!$E$7</f>
        <v>880.00000000000011</v>
      </c>
      <c r="L65" s="67">
        <f>RH!J21*RH!$E$7</f>
        <v>880.00000000000011</v>
      </c>
      <c r="M65" s="67">
        <f>RH!K21*RH!$E$7</f>
        <v>880.00000000000011</v>
      </c>
      <c r="N65" s="65">
        <f>RH!L21*RH!$E$7</f>
        <v>880.00000000000011</v>
      </c>
      <c r="O65" s="67">
        <f>RH!M21*RH!$E$7</f>
        <v>880.00000000000011</v>
      </c>
      <c r="P65" s="67">
        <f>RH!N21*RH!$E$7</f>
        <v>880.00000000000011</v>
      </c>
      <c r="Q65" s="67">
        <f>RH!O21*RH!$E$7</f>
        <v>880.00000000000011</v>
      </c>
      <c r="S65" s="66">
        <f t="shared" si="49"/>
        <v>3520.0000000000005</v>
      </c>
      <c r="T65" s="66">
        <f t="shared" si="50"/>
        <v>3520.0000000000005</v>
      </c>
      <c r="U65" s="66">
        <f t="shared" si="51"/>
        <v>3520.0000000000005</v>
      </c>
    </row>
    <row r="66" spans="2:21" ht="15" customHeight="1" outlineLevel="1" x14ac:dyDescent="0.25">
      <c r="B66" s="162" t="str">
        <f>RH!B8</f>
        <v>Designer UX/UI</v>
      </c>
      <c r="C66" s="163"/>
      <c r="D66" s="163"/>
      <c r="E66" s="65"/>
      <c r="F66" s="65">
        <f>RH!D22*RH!$E$8</f>
        <v>0</v>
      </c>
      <c r="G66" s="67">
        <f>RH!E22*RH!$E$8</f>
        <v>0</v>
      </c>
      <c r="H66" s="67">
        <f>RH!F22*RH!$E$8</f>
        <v>0</v>
      </c>
      <c r="I66" s="67">
        <f>RH!G22*RH!$E$8</f>
        <v>0</v>
      </c>
      <c r="J66" s="65">
        <f>RH!H22*RH!$E$8</f>
        <v>880.00000000000011</v>
      </c>
      <c r="K66" s="67">
        <f>RH!I22*RH!$E$8</f>
        <v>880.00000000000011</v>
      </c>
      <c r="L66" s="67">
        <f>RH!J22*RH!$E$8</f>
        <v>880.00000000000011</v>
      </c>
      <c r="M66" s="67">
        <f>RH!K22*RH!$E$8</f>
        <v>880.00000000000011</v>
      </c>
      <c r="N66" s="65">
        <f>RH!L22*RH!$E$8</f>
        <v>880.00000000000011</v>
      </c>
      <c r="O66" s="67">
        <f>RH!M22*RH!$E$8</f>
        <v>880.00000000000011</v>
      </c>
      <c r="P66" s="67">
        <f>RH!N22*RH!$E$8</f>
        <v>880.00000000000011</v>
      </c>
      <c r="Q66" s="67">
        <f>RH!O22*RH!$E$8</f>
        <v>880.00000000000011</v>
      </c>
      <c r="S66" s="66">
        <f t="shared" si="49"/>
        <v>0</v>
      </c>
      <c r="T66" s="66">
        <f t="shared" si="50"/>
        <v>3520.0000000000005</v>
      </c>
      <c r="U66" s="66">
        <f t="shared" si="51"/>
        <v>3520.0000000000005</v>
      </c>
    </row>
    <row r="67" spans="2:21" ht="15" customHeight="1" outlineLevel="1" x14ac:dyDescent="0.25">
      <c r="B67" s="162" t="str">
        <f>RH!B9</f>
        <v>Marketing &amp; Growth</v>
      </c>
      <c r="C67" s="163"/>
      <c r="D67" s="163"/>
      <c r="E67" s="65"/>
      <c r="F67" s="65">
        <f>RH!D23*RH!$E$9</f>
        <v>0</v>
      </c>
      <c r="G67" s="67">
        <f>RH!E23*RH!$E$9</f>
        <v>0</v>
      </c>
      <c r="H67" s="67">
        <f>RH!F23*RH!$E$9</f>
        <v>0</v>
      </c>
      <c r="I67" s="67">
        <f>RH!G23*RH!$E$9</f>
        <v>0</v>
      </c>
      <c r="J67" s="65">
        <f>RH!H23*RH!$E$9</f>
        <v>880.00000000000011</v>
      </c>
      <c r="K67" s="67">
        <f>RH!I23*RH!$E$9</f>
        <v>880.00000000000011</v>
      </c>
      <c r="L67" s="67">
        <f>RH!J23*RH!$E$9</f>
        <v>880.00000000000011</v>
      </c>
      <c r="M67" s="67">
        <f>RH!K23*RH!$E$9</f>
        <v>880.00000000000011</v>
      </c>
      <c r="N67" s="65">
        <f>RH!L23*RH!$E$9</f>
        <v>880.00000000000011</v>
      </c>
      <c r="O67" s="67">
        <f>RH!M23*RH!$E$9</f>
        <v>880.00000000000011</v>
      </c>
      <c r="P67" s="67">
        <f>RH!N23*RH!$E$9</f>
        <v>880.00000000000011</v>
      </c>
      <c r="Q67" s="67">
        <f>RH!O23*RH!$E$9</f>
        <v>880.00000000000011</v>
      </c>
      <c r="S67" s="66">
        <f t="shared" si="49"/>
        <v>0</v>
      </c>
      <c r="T67" s="66">
        <f t="shared" si="50"/>
        <v>3520.0000000000005</v>
      </c>
      <c r="U67" s="66">
        <f t="shared" si="51"/>
        <v>3520.0000000000005</v>
      </c>
    </row>
    <row r="68" spans="2:21" ht="15" customHeight="1" outlineLevel="1" x14ac:dyDescent="0.25">
      <c r="B68" s="162" t="str">
        <f>RH!B10</f>
        <v>Produto &amp; Operações</v>
      </c>
      <c r="C68" s="163"/>
      <c r="D68" s="163"/>
      <c r="E68" s="65"/>
      <c r="F68" s="65">
        <f>RH!D24*RH!$E$10</f>
        <v>0</v>
      </c>
      <c r="G68" s="67">
        <f>RH!E24*RH!$E$10</f>
        <v>0</v>
      </c>
      <c r="H68" s="67">
        <f>RH!F24*RH!$E$10</f>
        <v>0</v>
      </c>
      <c r="I68" s="67">
        <f>RH!G24*RH!$E$10</f>
        <v>0</v>
      </c>
      <c r="J68" s="65">
        <f>RH!H24*RH!$E$10</f>
        <v>880.00000000000011</v>
      </c>
      <c r="K68" s="67">
        <f>RH!I24*RH!$E$10</f>
        <v>880.00000000000011</v>
      </c>
      <c r="L68" s="67">
        <f>RH!J24*RH!$E$10</f>
        <v>880.00000000000011</v>
      </c>
      <c r="M68" s="67">
        <f>RH!K24*RH!$E$10</f>
        <v>880.00000000000011</v>
      </c>
      <c r="N68" s="65">
        <f>RH!L24*RH!$E$10</f>
        <v>880.00000000000011</v>
      </c>
      <c r="O68" s="67">
        <f>RH!M24*RH!$E$10</f>
        <v>880.00000000000011</v>
      </c>
      <c r="P68" s="67">
        <f>RH!N24*RH!$E$10</f>
        <v>880.00000000000011</v>
      </c>
      <c r="Q68" s="67">
        <f>RH!O24*RH!$E$10</f>
        <v>880.00000000000011</v>
      </c>
      <c r="S68" s="66">
        <f t="shared" si="49"/>
        <v>0</v>
      </c>
      <c r="T68" s="66">
        <f t="shared" si="50"/>
        <v>3520.0000000000005</v>
      </c>
      <c r="U68" s="66">
        <f t="shared" si="51"/>
        <v>3520.0000000000005</v>
      </c>
    </row>
    <row r="69" spans="2:21" ht="15" customHeight="1" outlineLevel="1" x14ac:dyDescent="0.25">
      <c r="B69" s="162">
        <f>RH!B11</f>
        <v>0</v>
      </c>
      <c r="C69" s="163"/>
      <c r="D69" s="163"/>
      <c r="E69" s="65"/>
      <c r="F69" s="65">
        <f>RH!D25*RH!$E$11</f>
        <v>0</v>
      </c>
      <c r="G69" s="67">
        <f>RH!E25*RH!$E$11</f>
        <v>0</v>
      </c>
      <c r="H69" s="67">
        <f>RH!F25*RH!$E$11</f>
        <v>0</v>
      </c>
      <c r="I69" s="67">
        <f>RH!G25*RH!$E$11</f>
        <v>0</v>
      </c>
      <c r="J69" s="65">
        <f>RH!H25*RH!$E$11</f>
        <v>0</v>
      </c>
      <c r="K69" s="67">
        <f>RH!I25*RH!$E$11</f>
        <v>0</v>
      </c>
      <c r="L69" s="67">
        <f>RH!J25*RH!$E$11</f>
        <v>0</v>
      </c>
      <c r="M69" s="67">
        <f>RH!K25*RH!$E$11</f>
        <v>0</v>
      </c>
      <c r="N69" s="65">
        <f>RH!L25*RH!$E$11</f>
        <v>0</v>
      </c>
      <c r="O69" s="67">
        <f>RH!M25*RH!$E$11</f>
        <v>0</v>
      </c>
      <c r="P69" s="67">
        <f>RH!N25*RH!$E$11</f>
        <v>0</v>
      </c>
      <c r="Q69" s="67">
        <f>RH!O25*RH!$E$11</f>
        <v>0</v>
      </c>
      <c r="S69" s="66">
        <f t="shared" si="49"/>
        <v>0</v>
      </c>
      <c r="T69" s="66">
        <f t="shared" si="50"/>
        <v>0</v>
      </c>
      <c r="U69" s="66">
        <f t="shared" si="51"/>
        <v>0</v>
      </c>
    </row>
    <row r="70" spans="2:21" ht="15" customHeight="1" outlineLevel="1" x14ac:dyDescent="0.25">
      <c r="B70" s="162">
        <f>RH!B12</f>
        <v>0</v>
      </c>
      <c r="C70" s="163"/>
      <c r="D70" s="163"/>
      <c r="E70" s="65"/>
      <c r="F70" s="65">
        <f>RH!D26*RH!$E$12</f>
        <v>0</v>
      </c>
      <c r="G70" s="67">
        <f>RH!E26*RH!$E$12</f>
        <v>0</v>
      </c>
      <c r="H70" s="67">
        <f>RH!F26*RH!$E$12</f>
        <v>0</v>
      </c>
      <c r="I70" s="67">
        <f>RH!G26*RH!$E$12</f>
        <v>0</v>
      </c>
      <c r="J70" s="65">
        <f>RH!H26*RH!$E$12</f>
        <v>0</v>
      </c>
      <c r="K70" s="67">
        <f>RH!I26*RH!$E$12</f>
        <v>0</v>
      </c>
      <c r="L70" s="67">
        <f>RH!J26*RH!$E$12</f>
        <v>0</v>
      </c>
      <c r="M70" s="67">
        <f>RH!K26*RH!$E$12</f>
        <v>0</v>
      </c>
      <c r="N70" s="65">
        <f>RH!L26*RH!$E$12</f>
        <v>0</v>
      </c>
      <c r="O70" s="67">
        <f>RH!M26*RH!$E$12</f>
        <v>0</v>
      </c>
      <c r="P70" s="67">
        <f>RH!N26*RH!$E$12</f>
        <v>0</v>
      </c>
      <c r="Q70" s="67">
        <f>RH!O26*RH!$E$12</f>
        <v>0</v>
      </c>
      <c r="S70" s="66">
        <f t="shared" si="49"/>
        <v>0</v>
      </c>
      <c r="T70" s="66">
        <f t="shared" si="50"/>
        <v>0</v>
      </c>
      <c r="U70" s="66">
        <f t="shared" si="51"/>
        <v>0</v>
      </c>
    </row>
    <row r="71" spans="2:21" ht="15" customHeight="1" outlineLevel="1" x14ac:dyDescent="0.25">
      <c r="B71" s="162">
        <f>RH!B13</f>
        <v>0</v>
      </c>
      <c r="C71" s="163"/>
      <c r="D71" s="163"/>
      <c r="E71" s="65"/>
      <c r="F71" s="65">
        <f>RH!D27*RH!$E$13</f>
        <v>0</v>
      </c>
      <c r="G71" s="67">
        <f>RH!E27*RH!$E$13</f>
        <v>0</v>
      </c>
      <c r="H71" s="67">
        <f>RH!F27*RH!$E$13</f>
        <v>0</v>
      </c>
      <c r="I71" s="67">
        <f>RH!G27*RH!$E$13</f>
        <v>0</v>
      </c>
      <c r="J71" s="65">
        <f>RH!H27*RH!$E$13</f>
        <v>0</v>
      </c>
      <c r="K71" s="67">
        <f>RH!I27*RH!$E$13</f>
        <v>0</v>
      </c>
      <c r="L71" s="67">
        <f>RH!J27*RH!$E$13</f>
        <v>0</v>
      </c>
      <c r="M71" s="67">
        <f>RH!K27*RH!$E$13</f>
        <v>0</v>
      </c>
      <c r="N71" s="65">
        <f>RH!L27*RH!$E$13</f>
        <v>0</v>
      </c>
      <c r="O71" s="67">
        <f>RH!M27*RH!$E$13</f>
        <v>0</v>
      </c>
      <c r="P71" s="67">
        <f>RH!N27*RH!$E$13</f>
        <v>0</v>
      </c>
      <c r="Q71" s="67">
        <f>RH!O27*RH!$E$13</f>
        <v>0</v>
      </c>
      <c r="S71" s="66">
        <f t="shared" si="49"/>
        <v>0</v>
      </c>
      <c r="T71" s="66">
        <f t="shared" si="50"/>
        <v>0</v>
      </c>
      <c r="U71" s="66">
        <f t="shared" si="51"/>
        <v>0</v>
      </c>
    </row>
    <row r="72" spans="2:21" ht="15" customHeight="1" outlineLevel="1" x14ac:dyDescent="0.25">
      <c r="B72" s="162">
        <f>RH!B14</f>
        <v>0</v>
      </c>
      <c r="C72" s="163"/>
      <c r="D72" s="163"/>
      <c r="E72" s="65"/>
      <c r="F72" s="65">
        <f>RH!D28*RH!$E$14</f>
        <v>0</v>
      </c>
      <c r="G72" s="65">
        <f>RH!E28*RH!$E$14</f>
        <v>0</v>
      </c>
      <c r="H72" s="65">
        <f>RH!F28*RH!$E$14</f>
        <v>0</v>
      </c>
      <c r="I72" s="65">
        <f>RH!G28*RH!$E$14</f>
        <v>0</v>
      </c>
      <c r="J72" s="65">
        <f>RH!H28*RH!$E$14</f>
        <v>0</v>
      </c>
      <c r="K72" s="65">
        <f>RH!I28*RH!$E$14</f>
        <v>0</v>
      </c>
      <c r="L72" s="65">
        <f>RH!J28*RH!$E$14</f>
        <v>0</v>
      </c>
      <c r="M72" s="65">
        <f>RH!K28*RH!$E$14</f>
        <v>0</v>
      </c>
      <c r="N72" s="65">
        <f>RH!L28*RH!$E$14</f>
        <v>0</v>
      </c>
      <c r="O72" s="65">
        <f>RH!M28*RH!$E$14</f>
        <v>0</v>
      </c>
      <c r="P72" s="65">
        <f>RH!N28*RH!$E$14</f>
        <v>0</v>
      </c>
      <c r="Q72" s="65">
        <f>RH!O28*RH!$E$14</f>
        <v>0</v>
      </c>
      <c r="S72" s="66">
        <f t="shared" si="49"/>
        <v>0</v>
      </c>
      <c r="T72" s="66">
        <f t="shared" si="50"/>
        <v>0</v>
      </c>
      <c r="U72" s="66">
        <f t="shared" si="51"/>
        <v>0</v>
      </c>
    </row>
    <row r="73" spans="2:21" ht="15" customHeight="1" x14ac:dyDescent="0.25">
      <c r="B73" s="23"/>
      <c r="C73" s="23"/>
      <c r="F73" s="68"/>
    </row>
    <row r="74" spans="2:21" ht="15" customHeight="1" x14ac:dyDescent="0.25">
      <c r="B74" s="158" t="s">
        <v>75</v>
      </c>
      <c r="C74" s="158"/>
      <c r="D74" s="158"/>
      <c r="E74" s="69">
        <f>E6-(E49+E14+E25+E32+E55+E62)</f>
        <v>-8500</v>
      </c>
      <c r="F74" s="69">
        <f>F6-(F14+F25+F32+F55+F62)</f>
        <v>-13303</v>
      </c>
      <c r="G74" s="69">
        <f>G6-(G14+G25+G32+G55+G62)</f>
        <v>-9174.5</v>
      </c>
      <c r="H74" s="69">
        <f t="shared" ref="H74:Q74" si="52">H6-(H14+H25+H32+H55+H62)</f>
        <v>-2140</v>
      </c>
      <c r="I74" s="69">
        <f t="shared" si="52"/>
        <v>6676</v>
      </c>
      <c r="J74" s="69">
        <f t="shared" si="52"/>
        <v>15878.799999999996</v>
      </c>
      <c r="K74" s="69">
        <f t="shared" si="52"/>
        <v>25902.799999999999</v>
      </c>
      <c r="L74" s="69">
        <f t="shared" si="52"/>
        <v>42248.3</v>
      </c>
      <c r="M74" s="69">
        <f t="shared" si="52"/>
        <v>61646.8</v>
      </c>
      <c r="N74" s="69">
        <f t="shared" si="52"/>
        <v>91771.98000000001</v>
      </c>
      <c r="O74" s="69">
        <f t="shared" si="52"/>
        <v>105658.18</v>
      </c>
      <c r="P74" s="69">
        <f t="shared" si="52"/>
        <v>134218.18</v>
      </c>
      <c r="Q74" s="69">
        <f t="shared" si="52"/>
        <v>167188.18</v>
      </c>
      <c r="S74" s="69">
        <f>SUM(F74:I74)</f>
        <v>-17941.5</v>
      </c>
      <c r="T74" s="69">
        <f>SUM(J74:M74)</f>
        <v>145676.70000000001</v>
      </c>
      <c r="U74" s="69">
        <f>SUM(N74:Q74)</f>
        <v>498836.51999999996</v>
      </c>
    </row>
    <row r="75" spans="2:21" x14ac:dyDescent="0.25">
      <c r="B75" s="41"/>
      <c r="C75" s="41"/>
      <c r="D75" s="43" t="s">
        <v>13</v>
      </c>
      <c r="E75" s="33"/>
      <c r="F75" s="33">
        <f t="shared" ref="F75:Q75" si="53">(F74/F6)</f>
        <v>-2.2456110735989196</v>
      </c>
      <c r="G75" s="33">
        <f t="shared" si="53"/>
        <v>-0.89902008819206269</v>
      </c>
      <c r="H75" s="33">
        <f t="shared" si="53"/>
        <v>-0.12256937483891291</v>
      </c>
      <c r="I75" s="33">
        <f t="shared" si="53"/>
        <v>0.25146903721560948</v>
      </c>
      <c r="J75" s="33">
        <f t="shared" si="53"/>
        <v>0.38381474946218352</v>
      </c>
      <c r="K75" s="33">
        <f t="shared" si="53"/>
        <v>0.49995753715498936</v>
      </c>
      <c r="L75" s="33">
        <f t="shared" si="53"/>
        <v>0.61538898518637208</v>
      </c>
      <c r="M75" s="33">
        <f t="shared" si="53"/>
        <v>0.69552090619852425</v>
      </c>
      <c r="N75" s="33">
        <f t="shared" si="53"/>
        <v>0.74987032597451631</v>
      </c>
      <c r="O75" s="33">
        <f t="shared" si="53"/>
        <v>0.7711150197051525</v>
      </c>
      <c r="P75" s="33">
        <f t="shared" si="53"/>
        <v>0.80650270400192281</v>
      </c>
      <c r="Q75" s="33">
        <f t="shared" si="53"/>
        <v>0.83425154063022378</v>
      </c>
      <c r="S75" s="33">
        <f>AVERAGE(F75:I75)</f>
        <v>-0.75393287485357141</v>
      </c>
      <c r="T75" s="33">
        <f>AVERAGE(J75:M75)</f>
        <v>0.54867054450051733</v>
      </c>
      <c r="U75" s="33">
        <f>AVERAGE(N75:Q75)</f>
        <v>0.79043489757795393</v>
      </c>
    </row>
    <row r="76" spans="2:21" x14ac:dyDescent="0.25">
      <c r="B76" s="41"/>
      <c r="C76" s="41"/>
      <c r="D76" s="43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S76" s="26"/>
      <c r="T76" s="26"/>
      <c r="U76" s="26"/>
    </row>
    <row r="77" spans="2:21" ht="15" customHeight="1" x14ac:dyDescent="0.25">
      <c r="B77" s="159" t="s">
        <v>76</v>
      </c>
      <c r="C77" s="159"/>
      <c r="D77" s="159"/>
      <c r="E77" s="75">
        <f>E74-E78</f>
        <v>-8500</v>
      </c>
      <c r="F77" s="75">
        <f>F74-F78</f>
        <v>-13658.44</v>
      </c>
      <c r="G77" s="75">
        <f t="shared" ref="G77:Q77" si="54">G74-G78</f>
        <v>-9786.7999999999993</v>
      </c>
      <c r="H77" s="75">
        <f t="shared" si="54"/>
        <v>-3187.5699999999997</v>
      </c>
      <c r="I77" s="75">
        <f t="shared" si="54"/>
        <v>5083.12</v>
      </c>
      <c r="J77" s="75">
        <f t="shared" si="54"/>
        <v>13396.539999999995</v>
      </c>
      <c r="K77" s="75">
        <f t="shared" si="54"/>
        <v>22794.2</v>
      </c>
      <c r="L77" s="75">
        <f t="shared" si="54"/>
        <v>38129.120000000003</v>
      </c>
      <c r="M77" s="75">
        <f t="shared" si="54"/>
        <v>56328.76</v>
      </c>
      <c r="N77" s="75">
        <f t="shared" si="54"/>
        <v>84428.952000000005</v>
      </c>
      <c r="O77" s="75">
        <f t="shared" si="54"/>
        <v>97436.98</v>
      </c>
      <c r="P77" s="75">
        <f t="shared" si="54"/>
        <v>124232.98</v>
      </c>
      <c r="Q77" s="75">
        <f t="shared" si="54"/>
        <v>155163.88</v>
      </c>
      <c r="S77" s="75">
        <f>SUM(F77:I77)</f>
        <v>-21549.69</v>
      </c>
      <c r="T77" s="75">
        <f>SUM(J77:M77)</f>
        <v>130648.62</v>
      </c>
      <c r="U77" s="75">
        <f>SUM(N77:Q77)</f>
        <v>461262.79200000002</v>
      </c>
    </row>
    <row r="78" spans="2:21" ht="15" customHeight="1" outlineLevel="1" x14ac:dyDescent="0.25">
      <c r="B78" s="156" t="s">
        <v>84</v>
      </c>
      <c r="C78" s="156"/>
      <c r="D78" s="33"/>
      <c r="E78" s="42">
        <f>E6*PREMISSAS!$T$34</f>
        <v>0</v>
      </c>
      <c r="F78" s="42">
        <f>F6*PREMISSAS!$T$34</f>
        <v>355.44</v>
      </c>
      <c r="G78" s="42">
        <f>G6*PREMISSAS!$T$34</f>
        <v>612.29999999999995</v>
      </c>
      <c r="H78" s="42">
        <f>H6*PREMISSAS!$T$34</f>
        <v>1047.57</v>
      </c>
      <c r="I78" s="42">
        <f>I6*PREMISSAS!$T$34</f>
        <v>1592.8799999999999</v>
      </c>
      <c r="J78" s="42">
        <f>J6*PREMISSAS!$T$34</f>
        <v>2482.2599999999998</v>
      </c>
      <c r="K78" s="42">
        <f>K6*PREMISSAS!$T$34</f>
        <v>3108.6</v>
      </c>
      <c r="L78" s="42">
        <f>L6*PREMISSAS!$T$34</f>
        <v>4119.18</v>
      </c>
      <c r="M78" s="42">
        <f>M6*PREMISSAS!$T$34</f>
        <v>5318.04</v>
      </c>
      <c r="N78" s="42">
        <f>N6*PREMISSAS!$T$34</f>
        <v>7343.0280000000002</v>
      </c>
      <c r="O78" s="42">
        <f>O6*PREMISSAS!$T$34</f>
        <v>8221.1999999999989</v>
      </c>
      <c r="P78" s="42">
        <f>P6*PREMISSAS!$T$34</f>
        <v>9985.1999999999989</v>
      </c>
      <c r="Q78" s="42">
        <f>Q6*PREMISSAS!$T$34</f>
        <v>12024.3</v>
      </c>
      <c r="S78" s="70">
        <f t="shared" ref="S78:S79" si="55">SUM(F78:I78)</f>
        <v>3608.1899999999996</v>
      </c>
      <c r="T78" s="70">
        <f t="shared" ref="T78:T79" si="56">SUM(J78:M78)</f>
        <v>15028.080000000002</v>
      </c>
      <c r="U78" s="70">
        <f t="shared" ref="U78:U79" si="57">SUM(N78:Q78)</f>
        <v>37573.728000000003</v>
      </c>
    </row>
    <row r="79" spans="2:21" ht="15" customHeight="1" outlineLevel="1" x14ac:dyDescent="0.25">
      <c r="B79" s="156" t="s">
        <v>85</v>
      </c>
      <c r="C79" s="156"/>
      <c r="D79" s="76"/>
      <c r="E79" s="42">
        <f>IF(E74&lt;0,0,E74*PREMISSAS!$T$35)</f>
        <v>0</v>
      </c>
      <c r="F79" s="42">
        <f>IF(F74&lt;0,0,F74*PREMISSAS!$T$35)</f>
        <v>0</v>
      </c>
      <c r="G79" s="42">
        <f>IF(G74&lt;0,0,G74*PREMISSAS!$T$35)</f>
        <v>0</v>
      </c>
      <c r="H79" s="42">
        <f>IF(H74&lt;0,0,H74*PREMISSAS!$T$35)</f>
        <v>0</v>
      </c>
      <c r="I79" s="42">
        <f>IF(I74&lt;0,0,I74*PREMISSAS!$T$35)</f>
        <v>1335.2</v>
      </c>
      <c r="J79" s="42">
        <f>IF(J74&lt;0,0,J74*PREMISSAS!$T$35)</f>
        <v>3175.7599999999993</v>
      </c>
      <c r="K79" s="42">
        <f>IF(K74&lt;0,0,K74*PREMISSAS!$T$35)</f>
        <v>5180.5600000000004</v>
      </c>
      <c r="L79" s="42">
        <f>IF(L74&lt;0,0,L74*PREMISSAS!$T$35)</f>
        <v>8449.6600000000017</v>
      </c>
      <c r="M79" s="42">
        <f>IF(M74&lt;0,0,M74*PREMISSAS!$T$35)</f>
        <v>12329.36</v>
      </c>
      <c r="N79" s="42">
        <f>IF(N74&lt;0,0,N74*PREMISSAS!$T$35)</f>
        <v>18354.396000000004</v>
      </c>
      <c r="O79" s="42">
        <f>IF(O74&lt;0,0,O74*PREMISSAS!$T$35)</f>
        <v>21131.635999999999</v>
      </c>
      <c r="P79" s="42">
        <f>IF(P74&lt;0,0,P74*PREMISSAS!$T$35)</f>
        <v>26843.635999999999</v>
      </c>
      <c r="Q79" s="42">
        <f>IF(Q74&lt;0,0,Q74*PREMISSAS!$T$35)</f>
        <v>33437.635999999999</v>
      </c>
      <c r="S79" s="70">
        <f t="shared" si="55"/>
        <v>1335.2</v>
      </c>
      <c r="T79" s="70">
        <f t="shared" si="56"/>
        <v>29135.340000000004</v>
      </c>
      <c r="U79" s="70">
        <f t="shared" si="57"/>
        <v>99767.304000000004</v>
      </c>
    </row>
    <row r="80" spans="2:21" ht="15" customHeight="1" x14ac:dyDescent="0.25">
      <c r="B80" s="156"/>
      <c r="C80" s="156"/>
      <c r="D80" s="156"/>
      <c r="E80" s="45"/>
      <c r="F80" s="45"/>
      <c r="G80" s="45"/>
      <c r="H80" s="45"/>
      <c r="I80" s="45"/>
      <c r="J80" s="45"/>
      <c r="K80" s="45"/>
      <c r="L80" s="45"/>
      <c r="M80" s="45"/>
      <c r="N80" s="48"/>
    </row>
    <row r="81" spans="2:21" x14ac:dyDescent="0.25">
      <c r="B81" s="160" t="s">
        <v>77</v>
      </c>
      <c r="C81" s="160"/>
      <c r="D81" s="160"/>
      <c r="E81" s="69">
        <f>E77-E78-E79</f>
        <v>-8500</v>
      </c>
      <c r="F81" s="69">
        <f>F77-F79</f>
        <v>-13658.44</v>
      </c>
      <c r="G81" s="69">
        <f>G77-G79</f>
        <v>-9786.7999999999993</v>
      </c>
      <c r="H81" s="69">
        <f>H77-H79</f>
        <v>-3187.5699999999997</v>
      </c>
      <c r="I81" s="69">
        <f>I77-I79</f>
        <v>3747.92</v>
      </c>
      <c r="J81" s="69">
        <f t="shared" ref="J81:Q81" si="58">J77-J79</f>
        <v>10220.779999999995</v>
      </c>
      <c r="K81" s="69">
        <f t="shared" si="58"/>
        <v>17613.64</v>
      </c>
      <c r="L81" s="69">
        <f t="shared" si="58"/>
        <v>29679.46</v>
      </c>
      <c r="M81" s="69">
        <f t="shared" si="58"/>
        <v>43999.4</v>
      </c>
      <c r="N81" s="69">
        <f t="shared" si="58"/>
        <v>66074.555999999997</v>
      </c>
      <c r="O81" s="69">
        <f t="shared" si="58"/>
        <v>76305.343999999997</v>
      </c>
      <c r="P81" s="69">
        <f t="shared" si="58"/>
        <v>97389.343999999997</v>
      </c>
      <c r="Q81" s="69">
        <f t="shared" si="58"/>
        <v>121726.24400000001</v>
      </c>
      <c r="S81" s="69">
        <f>SUM(F81:I81)</f>
        <v>-22884.89</v>
      </c>
      <c r="T81" s="69">
        <f>SUM(J81:M81)</f>
        <v>101513.28</v>
      </c>
      <c r="U81" s="69">
        <f>SUM(N81:Q81)</f>
        <v>361495.48800000001</v>
      </c>
    </row>
    <row r="82" spans="2:21" x14ac:dyDescent="0.25">
      <c r="B82" s="156" t="s">
        <v>86</v>
      </c>
      <c r="C82" s="156"/>
      <c r="D82" s="156"/>
      <c r="E82" s="31">
        <f>E81</f>
        <v>-8500</v>
      </c>
      <c r="F82" s="31">
        <f>F81+E82</f>
        <v>-22158.440000000002</v>
      </c>
      <c r="G82" s="31">
        <f>G81+F82</f>
        <v>-31945.24</v>
      </c>
      <c r="H82" s="31">
        <f t="shared" ref="H82:Q82" si="59">H81+G82</f>
        <v>-35132.81</v>
      </c>
      <c r="I82" s="31">
        <f t="shared" si="59"/>
        <v>-31384.89</v>
      </c>
      <c r="J82" s="31">
        <f t="shared" si="59"/>
        <v>-21164.110000000004</v>
      </c>
      <c r="K82" s="31">
        <f t="shared" si="59"/>
        <v>-3550.4700000000048</v>
      </c>
      <c r="L82" s="31">
        <f t="shared" si="59"/>
        <v>26128.989999999994</v>
      </c>
      <c r="M82" s="31">
        <f t="shared" si="59"/>
        <v>70128.39</v>
      </c>
      <c r="N82" s="31">
        <f t="shared" si="59"/>
        <v>136202.946</v>
      </c>
      <c r="O82" s="31">
        <f t="shared" si="59"/>
        <v>212508.28999999998</v>
      </c>
      <c r="P82" s="31">
        <f t="shared" si="59"/>
        <v>309897.63399999996</v>
      </c>
      <c r="Q82" s="31">
        <f t="shared" si="59"/>
        <v>431623.87799999997</v>
      </c>
      <c r="S82" s="26">
        <f>AVERAGE(F82:I82)</f>
        <v>-30155.345000000001</v>
      </c>
      <c r="T82" s="26">
        <f>AVERAGE(J82:M82)</f>
        <v>17885.699999999997</v>
      </c>
      <c r="U82" s="26">
        <f>AVERAGE(N82:Q82)</f>
        <v>272558.18699999998</v>
      </c>
    </row>
    <row r="83" spans="2:21" x14ac:dyDescent="0.25">
      <c r="B83" s="156"/>
      <c r="C83" s="156"/>
      <c r="D83" s="156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</row>
    <row r="84" spans="2:21" x14ac:dyDescent="0.25">
      <c r="D84" s="30" t="s">
        <v>14</v>
      </c>
      <c r="E84" s="31" t="str">
        <f>IF(E81&gt;0,1,"")</f>
        <v/>
      </c>
      <c r="F84" s="31" t="str">
        <f>IF(F81&gt;0,1,"")</f>
        <v/>
      </c>
      <c r="G84" s="31" t="str">
        <f>IF(G81&gt;0,1,"")</f>
        <v/>
      </c>
      <c r="H84" s="31" t="str">
        <f t="shared" ref="G84:Q85" si="60">IF(H81&gt;0,1,"")</f>
        <v/>
      </c>
      <c r="I84" s="31">
        <f t="shared" si="60"/>
        <v>1</v>
      </c>
      <c r="J84" s="31">
        <f t="shared" si="60"/>
        <v>1</v>
      </c>
      <c r="K84" s="31">
        <f t="shared" si="60"/>
        <v>1</v>
      </c>
      <c r="L84" s="31">
        <f t="shared" si="60"/>
        <v>1</v>
      </c>
      <c r="M84" s="31">
        <f t="shared" si="60"/>
        <v>1</v>
      </c>
      <c r="N84" s="31">
        <f t="shared" si="60"/>
        <v>1</v>
      </c>
      <c r="O84" s="31">
        <f t="shared" si="60"/>
        <v>1</v>
      </c>
      <c r="P84" s="31">
        <f t="shared" si="60"/>
        <v>1</v>
      </c>
      <c r="Q84" s="31">
        <f t="shared" si="60"/>
        <v>1</v>
      </c>
    </row>
    <row r="85" spans="2:21" x14ac:dyDescent="0.25">
      <c r="D85" s="30" t="s">
        <v>15</v>
      </c>
      <c r="E85" s="31" t="str">
        <f>IF(E82&gt;0,1,"")</f>
        <v/>
      </c>
      <c r="F85" s="31" t="str">
        <f>IF(F82&gt;0,1,"")</f>
        <v/>
      </c>
      <c r="G85" s="31" t="str">
        <f t="shared" si="60"/>
        <v/>
      </c>
      <c r="H85" s="31" t="str">
        <f t="shared" si="60"/>
        <v/>
      </c>
      <c r="I85" s="31" t="str">
        <f t="shared" si="60"/>
        <v/>
      </c>
      <c r="J85" s="31" t="str">
        <f t="shared" si="60"/>
        <v/>
      </c>
      <c r="K85" s="31" t="str">
        <f t="shared" si="60"/>
        <v/>
      </c>
      <c r="L85" s="31">
        <f t="shared" si="60"/>
        <v>1</v>
      </c>
      <c r="M85" s="31">
        <f t="shared" si="60"/>
        <v>1</v>
      </c>
      <c r="N85" s="31">
        <f t="shared" si="60"/>
        <v>1</v>
      </c>
      <c r="O85" s="31">
        <f t="shared" si="60"/>
        <v>1</v>
      </c>
      <c r="P85" s="31">
        <f t="shared" si="60"/>
        <v>1</v>
      </c>
      <c r="Q85" s="31">
        <f t="shared" si="60"/>
        <v>1</v>
      </c>
    </row>
    <row r="86" spans="2:21" x14ac:dyDescent="0.25">
      <c r="I86" s="32"/>
      <c r="J86" s="32"/>
    </row>
    <row r="87" spans="2:21" x14ac:dyDescent="0.25">
      <c r="I87" s="33"/>
    </row>
    <row r="88" spans="2:21" x14ac:dyDescent="0.25">
      <c r="I88" s="33"/>
    </row>
    <row r="89" spans="2:21" x14ac:dyDescent="0.25">
      <c r="I89" s="33"/>
    </row>
    <row r="98" s="23" customFormat="1" ht="15" hidden="1" customHeight="1" x14ac:dyDescent="0.25"/>
    <row r="99" s="23" customFormat="1" ht="15" hidden="1" customHeight="1" x14ac:dyDescent="0.25"/>
    <row r="100" s="23" customFormat="1" collapsed="1" x14ac:dyDescent="0.25"/>
  </sheetData>
  <sheetProtection sheet="1" objects="1" scenarios="1"/>
  <mergeCells count="66">
    <mergeCell ref="B41:D41"/>
    <mergeCell ref="B46:D46"/>
    <mergeCell ref="B45:D45"/>
    <mergeCell ref="B43:D43"/>
    <mergeCell ref="B36:D36"/>
    <mergeCell ref="B37:D37"/>
    <mergeCell ref="B38:D38"/>
    <mergeCell ref="B39:D39"/>
    <mergeCell ref="B40:D40"/>
    <mergeCell ref="B44:D44"/>
    <mergeCell ref="B72:D72"/>
    <mergeCell ref="B55:D55"/>
    <mergeCell ref="B62:D62"/>
    <mergeCell ref="B49:D49"/>
    <mergeCell ref="B50:D50"/>
    <mergeCell ref="B51:D51"/>
    <mergeCell ref="B52:D52"/>
    <mergeCell ref="B53:D53"/>
    <mergeCell ref="B32:D32"/>
    <mergeCell ref="B82:D82"/>
    <mergeCell ref="B80:D80"/>
    <mergeCell ref="B78:C78"/>
    <mergeCell ref="B79:C79"/>
    <mergeCell ref="B47:D47"/>
    <mergeCell ref="B63:D63"/>
    <mergeCell ref="B64:D64"/>
    <mergeCell ref="B65:D65"/>
    <mergeCell ref="B66:D66"/>
    <mergeCell ref="B67:D67"/>
    <mergeCell ref="B68:D68"/>
    <mergeCell ref="B69:D69"/>
    <mergeCell ref="B70:D70"/>
    <mergeCell ref="B33:D33"/>
    <mergeCell ref="B71:D71"/>
    <mergeCell ref="B18:C18"/>
    <mergeCell ref="B19:C19"/>
    <mergeCell ref="B83:D83"/>
    <mergeCell ref="B9:D9"/>
    <mergeCell ref="B10:D10"/>
    <mergeCell ref="B11:D11"/>
    <mergeCell ref="B20:C20"/>
    <mergeCell ref="B56:D56"/>
    <mergeCell ref="B57:D57"/>
    <mergeCell ref="B58:D58"/>
    <mergeCell ref="B74:D74"/>
    <mergeCell ref="B77:D77"/>
    <mergeCell ref="B59:D59"/>
    <mergeCell ref="B60:D60"/>
    <mergeCell ref="B42:D42"/>
    <mergeCell ref="B81:D81"/>
    <mergeCell ref="B34:D34"/>
    <mergeCell ref="B35:D35"/>
    <mergeCell ref="B2:U2"/>
    <mergeCell ref="B23:D23"/>
    <mergeCell ref="B6:D6"/>
    <mergeCell ref="B7:D7"/>
    <mergeCell ref="B8:D8"/>
    <mergeCell ref="B12:D12"/>
    <mergeCell ref="B14:D14"/>
    <mergeCell ref="B22:D22"/>
    <mergeCell ref="B15:C15"/>
    <mergeCell ref="F4:I4"/>
    <mergeCell ref="J4:M4"/>
    <mergeCell ref="N4:Q4"/>
    <mergeCell ref="B16:C16"/>
    <mergeCell ref="B17:C17"/>
  </mergeCells>
  <conditionalFormatting sqref="E22:Q22 E74:Q74 E77:Q77 E81:Q81">
    <cfRule type="cellIs" dxfId="1" priority="1" stopIfTrue="1" operator="lessThan">
      <formula>0</formula>
    </cfRule>
  </conditionalFormatting>
  <conditionalFormatting sqref="G115:S118 G120 G122">
    <cfRule type="cellIs" dxfId="0" priority="3" stopIfTrue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U51"/>
  <sheetViews>
    <sheetView zoomScale="95" zoomScaleNormal="95" zoomScalePageLayoutView="95" workbookViewId="0">
      <selection activeCell="G44" sqref="G44"/>
    </sheetView>
  </sheetViews>
  <sheetFormatPr defaultColWidth="8.85546875" defaultRowHeight="15" x14ac:dyDescent="0.25"/>
  <cols>
    <col min="1" max="1" width="8.85546875" style="77"/>
    <col min="2" max="2" width="11" style="77" customWidth="1"/>
    <col min="3" max="3" width="11.42578125" style="77" customWidth="1"/>
    <col min="4" max="4" width="33.28515625" style="77" customWidth="1"/>
    <col min="5" max="10" width="8.85546875" style="77"/>
    <col min="11" max="11" width="8.85546875" style="78"/>
    <col min="12" max="13" width="8.85546875" style="77"/>
    <col min="14" max="14" width="17" style="77" customWidth="1"/>
    <col min="15" max="16384" width="8.85546875" style="77"/>
  </cols>
  <sheetData>
    <row r="2" spans="2:47" s="23" customFormat="1" ht="36" customHeight="1" x14ac:dyDescent="0.25">
      <c r="B2" s="115" t="s">
        <v>97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</row>
    <row r="3" spans="2:47" x14ac:dyDescent="0.25">
      <c r="B3" s="168"/>
      <c r="C3" s="168"/>
      <c r="D3" s="168"/>
      <c r="E3" s="168"/>
    </row>
    <row r="4" spans="2:47" ht="18.75" x14ac:dyDescent="0.25">
      <c r="B4" s="166" t="s">
        <v>98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</row>
    <row r="5" spans="2:47" x14ac:dyDescent="0.25">
      <c r="B5" s="79"/>
      <c r="C5" s="80"/>
      <c r="D5" s="81"/>
      <c r="E5" s="81"/>
      <c r="F5" s="81"/>
      <c r="G5" s="81"/>
      <c r="H5" s="81"/>
    </row>
    <row r="6" spans="2:47" x14ac:dyDescent="0.25">
      <c r="B6" s="79"/>
      <c r="C6" s="80"/>
      <c r="D6" s="81"/>
      <c r="E6" s="81"/>
      <c r="F6" s="81"/>
      <c r="G6" s="81"/>
      <c r="H6" s="81"/>
    </row>
    <row r="7" spans="2:47" x14ac:dyDescent="0.25">
      <c r="B7" s="79"/>
      <c r="C7" s="80"/>
      <c r="D7" s="81"/>
      <c r="E7" s="81"/>
      <c r="F7" s="81"/>
      <c r="G7" s="81"/>
      <c r="H7" s="81"/>
    </row>
    <row r="8" spans="2:47" x14ac:dyDescent="0.25">
      <c r="B8" s="79"/>
      <c r="C8" s="80"/>
      <c r="D8" s="81"/>
      <c r="E8" s="81"/>
      <c r="F8" s="81"/>
      <c r="G8" s="81"/>
      <c r="H8" s="81"/>
    </row>
    <row r="9" spans="2:47" x14ac:dyDescent="0.25">
      <c r="B9" s="79"/>
      <c r="C9" s="80"/>
      <c r="D9" s="81"/>
      <c r="E9" s="81"/>
      <c r="F9" s="81"/>
      <c r="G9" s="81"/>
      <c r="H9" s="81"/>
    </row>
    <row r="10" spans="2:47" x14ac:dyDescent="0.25">
      <c r="B10" s="79"/>
      <c r="C10" s="80"/>
      <c r="D10" s="81"/>
      <c r="E10" s="81"/>
      <c r="F10" s="81"/>
      <c r="G10" s="81"/>
      <c r="H10" s="81"/>
    </row>
    <row r="11" spans="2:47" x14ac:dyDescent="0.25">
      <c r="B11" s="79"/>
      <c r="C11" s="80"/>
      <c r="D11" s="81"/>
      <c r="E11" s="81"/>
      <c r="F11" s="81"/>
      <c r="G11" s="81"/>
      <c r="H11" s="81"/>
    </row>
    <row r="12" spans="2:47" x14ac:dyDescent="0.25">
      <c r="B12" s="79"/>
      <c r="C12" s="80"/>
      <c r="D12" s="81"/>
      <c r="E12" s="81"/>
      <c r="F12" s="81"/>
      <c r="G12" s="81"/>
      <c r="H12" s="81"/>
      <c r="K12" s="82"/>
    </row>
    <row r="13" spans="2:47" x14ac:dyDescent="0.25">
      <c r="B13" s="79"/>
      <c r="C13" s="80"/>
      <c r="D13" s="81"/>
      <c r="E13" s="81"/>
      <c r="F13" s="81"/>
      <c r="G13" s="81"/>
      <c r="H13" s="81"/>
    </row>
    <row r="14" spans="2:47" x14ac:dyDescent="0.25">
      <c r="B14" s="79"/>
      <c r="C14" s="80"/>
      <c r="D14" s="81"/>
      <c r="E14" s="81"/>
      <c r="F14" s="81"/>
      <c r="G14" s="81"/>
      <c r="H14" s="81"/>
    </row>
    <row r="15" spans="2:47" x14ac:dyDescent="0.25">
      <c r="B15" s="79"/>
      <c r="C15" s="80"/>
      <c r="D15" s="81"/>
      <c r="E15" s="81"/>
      <c r="F15" s="81"/>
      <c r="G15" s="81"/>
      <c r="H15" s="81"/>
    </row>
    <row r="16" spans="2:47" x14ac:dyDescent="0.25">
      <c r="B16" s="79"/>
      <c r="C16" s="80"/>
      <c r="D16" s="81"/>
      <c r="E16" s="81"/>
      <c r="F16" s="81"/>
      <c r="G16" s="81"/>
      <c r="H16" s="81"/>
    </row>
    <row r="17" spans="2:14" x14ac:dyDescent="0.25">
      <c r="B17" s="81"/>
      <c r="C17" s="81"/>
      <c r="D17" s="81"/>
      <c r="E17" s="81"/>
      <c r="F17" s="81"/>
      <c r="G17" s="81"/>
      <c r="H17" s="81"/>
    </row>
    <row r="18" spans="2:14" x14ac:dyDescent="0.25">
      <c r="B18" s="83"/>
      <c r="C18" s="83"/>
      <c r="D18" s="83"/>
      <c r="E18" s="83"/>
    </row>
    <row r="19" spans="2:14" x14ac:dyDescent="0.25">
      <c r="B19" s="83"/>
      <c r="C19" s="83"/>
      <c r="D19" s="83"/>
      <c r="E19" s="83"/>
    </row>
    <row r="20" spans="2:14" x14ac:dyDescent="0.25">
      <c r="B20" s="83"/>
      <c r="C20" s="83"/>
      <c r="D20" s="83"/>
      <c r="E20" s="83"/>
    </row>
    <row r="21" spans="2:14" x14ac:dyDescent="0.25">
      <c r="B21" s="83"/>
      <c r="C21" s="83"/>
      <c r="D21" s="83"/>
      <c r="E21" s="83"/>
    </row>
    <row r="22" spans="2:14" x14ac:dyDescent="0.25">
      <c r="B22" s="83"/>
      <c r="C22" s="83"/>
      <c r="D22" s="83"/>
      <c r="E22" s="83"/>
    </row>
    <row r="23" spans="2:14" x14ac:dyDescent="0.25">
      <c r="B23" s="83"/>
      <c r="C23" s="83"/>
      <c r="D23" s="83"/>
      <c r="E23" s="83"/>
    </row>
    <row r="24" spans="2:14" x14ac:dyDescent="0.25">
      <c r="B24" s="83"/>
      <c r="C24" s="83"/>
      <c r="D24" s="83"/>
      <c r="E24" s="83"/>
    </row>
    <row r="25" spans="2:14" x14ac:dyDescent="0.25">
      <c r="B25" s="83"/>
      <c r="C25" s="83"/>
      <c r="D25" s="83"/>
      <c r="E25" s="83"/>
    </row>
    <row r="26" spans="2:14" x14ac:dyDescent="0.25">
      <c r="B26" s="83"/>
      <c r="C26" s="83"/>
      <c r="D26" s="83"/>
      <c r="E26" s="83"/>
    </row>
    <row r="27" spans="2:14" x14ac:dyDescent="0.25">
      <c r="B27" s="83"/>
      <c r="C27" s="83"/>
      <c r="D27" s="83"/>
      <c r="E27" s="83"/>
    </row>
    <row r="28" spans="2:14" x14ac:dyDescent="0.25">
      <c r="B28" s="83"/>
      <c r="C28" s="83"/>
      <c r="D28" s="83"/>
      <c r="E28" s="83"/>
    </row>
    <row r="29" spans="2:14" x14ac:dyDescent="0.25">
      <c r="B29" s="83"/>
      <c r="C29" s="83"/>
      <c r="D29" s="83"/>
      <c r="E29" s="83"/>
    </row>
    <row r="30" spans="2:14" s="84" customFormat="1" ht="18.75" x14ac:dyDescent="0.25">
      <c r="B30" s="166" t="s">
        <v>99</v>
      </c>
      <c r="C30" s="167"/>
      <c r="D30" s="167"/>
      <c r="E30" s="167"/>
      <c r="F30" s="167"/>
      <c r="G30" s="167"/>
      <c r="H30" s="167"/>
      <c r="J30" s="169" t="s">
        <v>26</v>
      </c>
      <c r="K30" s="169"/>
      <c r="L30" s="169"/>
      <c r="M30" s="169"/>
      <c r="N30" s="169"/>
    </row>
    <row r="31" spans="2:14" s="84" customFormat="1" ht="17.100000000000001" customHeight="1" x14ac:dyDescent="0.25">
      <c r="B31" s="79" t="s">
        <v>40</v>
      </c>
      <c r="C31" s="85"/>
      <c r="D31" s="85"/>
      <c r="E31" s="85"/>
      <c r="F31" s="85"/>
      <c r="G31" s="85"/>
      <c r="H31" s="85"/>
      <c r="J31" s="169"/>
      <c r="K31" s="169"/>
      <c r="L31" s="169"/>
      <c r="M31" s="169"/>
      <c r="N31" s="169"/>
    </row>
    <row r="32" spans="2:14" s="84" customFormat="1" x14ac:dyDescent="0.25">
      <c r="B32" s="71"/>
      <c r="C32" s="86"/>
      <c r="D32" s="87"/>
      <c r="E32" s="71"/>
      <c r="F32" s="71"/>
      <c r="G32" s="71"/>
      <c r="H32" s="71"/>
      <c r="I32" s="77"/>
      <c r="J32" s="170" t="s">
        <v>27</v>
      </c>
      <c r="K32" s="170"/>
      <c r="L32" s="170"/>
      <c r="M32" s="171">
        <f>MIN('RESULTADO (DRE)'!F82:Q82)*-1</f>
        <v>35132.81</v>
      </c>
      <c r="N32" s="171"/>
    </row>
    <row r="33" spans="2:14" s="84" customFormat="1" ht="15.75" thickBot="1" x14ac:dyDescent="0.3">
      <c r="B33" s="79"/>
      <c r="C33" s="88" t="s">
        <v>25</v>
      </c>
      <c r="D33" s="89" t="s">
        <v>23</v>
      </c>
      <c r="E33" s="72" t="s">
        <v>17</v>
      </c>
      <c r="F33" s="90">
        <f>(AVERAGE('RESULTADO (DRE)'!F81:Q81)/AVERAGE('RESULTADO (DRE)'!F6:Q6))</f>
        <v>0.46979956626221547</v>
      </c>
      <c r="G33" s="91"/>
      <c r="H33" s="92"/>
      <c r="J33" s="170"/>
      <c r="K33" s="170"/>
      <c r="L33" s="170"/>
      <c r="M33" s="171"/>
      <c r="N33" s="171"/>
    </row>
    <row r="34" spans="2:14" s="84" customFormat="1" x14ac:dyDescent="0.25">
      <c r="B34" s="71"/>
      <c r="C34" s="86"/>
      <c r="D34" s="93" t="s">
        <v>24</v>
      </c>
      <c r="E34" s="71"/>
      <c r="F34" s="91"/>
      <c r="G34" s="91"/>
      <c r="H34" s="71"/>
      <c r="J34" s="170" t="s">
        <v>28</v>
      </c>
      <c r="K34" s="170"/>
      <c r="L34" s="170"/>
      <c r="M34" s="171">
        <f>VIABILIDADE!D40</f>
        <v>532504.4885404025</v>
      </c>
      <c r="N34" s="171"/>
    </row>
    <row r="35" spans="2:14" s="84" customFormat="1" x14ac:dyDescent="0.25">
      <c r="B35" s="71"/>
      <c r="C35" s="71"/>
      <c r="D35" s="87"/>
      <c r="E35" s="71"/>
      <c r="F35" s="71"/>
      <c r="G35" s="71"/>
      <c r="H35" s="71"/>
      <c r="J35" s="170"/>
      <c r="K35" s="170"/>
      <c r="L35" s="170"/>
      <c r="M35" s="171"/>
      <c r="N35" s="171"/>
    </row>
    <row r="36" spans="2:14" s="84" customFormat="1" ht="18.75" x14ac:dyDescent="0.25">
      <c r="B36" s="166" t="s">
        <v>100</v>
      </c>
      <c r="C36" s="167"/>
      <c r="D36" s="167"/>
      <c r="E36" s="167"/>
      <c r="F36" s="167"/>
      <c r="G36" s="167"/>
      <c r="H36" s="167"/>
      <c r="J36" s="170" t="s">
        <v>16</v>
      </c>
      <c r="K36" s="170"/>
      <c r="L36" s="170"/>
      <c r="M36" s="172">
        <f>AVERAGE('RESULTADO (DRE)'!S23:U23)</f>
        <v>0.96831011045491555</v>
      </c>
      <c r="N36" s="171"/>
    </row>
    <row r="37" spans="2:14" s="84" customFormat="1" x14ac:dyDescent="0.25">
      <c r="B37" s="79"/>
      <c r="C37" s="88" t="s">
        <v>18</v>
      </c>
      <c r="D37" s="94">
        <v>0.25</v>
      </c>
      <c r="E37" s="71"/>
      <c r="F37" s="71"/>
      <c r="G37" s="71"/>
      <c r="H37" s="71"/>
      <c r="J37" s="170"/>
      <c r="K37" s="170"/>
      <c r="L37" s="170"/>
      <c r="M37" s="171"/>
      <c r="N37" s="171"/>
    </row>
    <row r="38" spans="2:14" s="84" customFormat="1" x14ac:dyDescent="0.25">
      <c r="B38" s="79"/>
      <c r="C38" s="88" t="s">
        <v>38</v>
      </c>
      <c r="D38" s="95">
        <f>(1+D37)^(1/4)-1</f>
        <v>5.7371263440564091E-2</v>
      </c>
      <c r="E38" s="71"/>
      <c r="F38" s="71"/>
      <c r="G38" s="71"/>
      <c r="H38" s="71"/>
      <c r="J38" s="170" t="s">
        <v>29</v>
      </c>
      <c r="K38" s="170"/>
      <c r="L38" s="170"/>
      <c r="M38" s="172">
        <f>AVERAGE('RESULTADO (DRE)'!S75:U75)</f>
        <v>0.19505752240829996</v>
      </c>
      <c r="N38" s="171"/>
    </row>
    <row r="39" spans="2:14" s="84" customFormat="1" x14ac:dyDescent="0.25">
      <c r="B39" s="79"/>
      <c r="C39" s="86"/>
      <c r="D39" s="87"/>
      <c r="E39" s="71"/>
      <c r="F39" s="71"/>
      <c r="G39" s="71"/>
      <c r="H39" s="71"/>
      <c r="J39" s="170"/>
      <c r="K39" s="170"/>
      <c r="L39" s="170"/>
      <c r="M39" s="171"/>
      <c r="N39" s="171"/>
    </row>
    <row r="40" spans="2:14" s="84" customFormat="1" ht="15.75" thickBot="1" x14ac:dyDescent="0.3">
      <c r="B40" s="71"/>
      <c r="C40" s="88" t="s">
        <v>19</v>
      </c>
      <c r="D40" s="96">
        <f>NPV(D38,'RESULTADO (DRE)'!F82:Q82)</f>
        <v>532504.4885404025</v>
      </c>
      <c r="E40" s="72"/>
      <c r="F40" s="97"/>
      <c r="G40" s="71"/>
      <c r="H40" s="92"/>
      <c r="I40" s="77"/>
      <c r="J40" s="170" t="s">
        <v>30</v>
      </c>
      <c r="K40" s="170"/>
      <c r="L40" s="170"/>
      <c r="M40" s="173">
        <f>VIABILIDADE!D50</f>
        <v>21</v>
      </c>
      <c r="N40" s="173"/>
    </row>
    <row r="41" spans="2:14" s="84" customFormat="1" ht="15.75" thickTop="1" x14ac:dyDescent="0.25">
      <c r="B41" s="71"/>
      <c r="C41" s="86"/>
      <c r="D41" s="93"/>
      <c r="E41" s="71"/>
      <c r="F41" s="98"/>
      <c r="G41" s="71"/>
      <c r="H41" s="71"/>
      <c r="J41" s="170"/>
      <c r="K41" s="170"/>
      <c r="L41" s="170"/>
      <c r="M41" s="173"/>
      <c r="N41" s="173"/>
    </row>
    <row r="42" spans="2:14" s="84" customFormat="1" ht="18.75" x14ac:dyDescent="0.25">
      <c r="B42" s="166" t="s">
        <v>101</v>
      </c>
      <c r="C42" s="167"/>
      <c r="D42" s="167"/>
      <c r="E42" s="167"/>
      <c r="F42" s="167"/>
      <c r="G42" s="167"/>
      <c r="H42" s="167"/>
      <c r="J42" s="170" t="s">
        <v>31</v>
      </c>
      <c r="K42" s="170"/>
      <c r="L42" s="170"/>
      <c r="M42" s="173">
        <f>VIABILIDADE!D49</f>
        <v>12</v>
      </c>
      <c r="N42" s="173"/>
    </row>
    <row r="43" spans="2:14" s="84" customFormat="1" x14ac:dyDescent="0.25">
      <c r="B43" s="79"/>
      <c r="C43" s="86"/>
      <c r="D43" s="87"/>
      <c r="E43" s="71"/>
      <c r="F43" s="71"/>
      <c r="G43" s="71"/>
      <c r="H43" s="71"/>
      <c r="J43" s="170"/>
      <c r="K43" s="170"/>
      <c r="L43" s="170"/>
      <c r="M43" s="173"/>
      <c r="N43" s="173"/>
    </row>
    <row r="44" spans="2:14" s="84" customFormat="1" x14ac:dyDescent="0.25">
      <c r="B44" s="79"/>
      <c r="C44" s="88" t="s">
        <v>20</v>
      </c>
      <c r="D44" s="100">
        <f>(1+D45)^4-1</f>
        <v>2.0150417516042674</v>
      </c>
      <c r="E44" s="71"/>
      <c r="F44" s="71"/>
      <c r="G44" s="101"/>
      <c r="H44" s="71"/>
      <c r="I44" s="77"/>
      <c r="K44" s="99"/>
    </row>
    <row r="45" spans="2:14" s="84" customFormat="1" x14ac:dyDescent="0.25">
      <c r="B45" s="71"/>
      <c r="C45" s="88" t="s">
        <v>39</v>
      </c>
      <c r="D45" s="100">
        <f>IRR('RESULTADO (DRE)'!F82:Q82)</f>
        <v>0.31772059178256495</v>
      </c>
      <c r="E45" s="72"/>
      <c r="F45" s="97"/>
      <c r="G45" s="101"/>
      <c r="H45" s="102"/>
      <c r="J45" s="104"/>
      <c r="K45" s="99"/>
    </row>
    <row r="46" spans="2:14" s="84" customFormat="1" x14ac:dyDescent="0.25">
      <c r="B46" s="71"/>
      <c r="C46" s="86"/>
      <c r="D46" s="93"/>
      <c r="E46" s="71"/>
      <c r="F46" s="103"/>
      <c r="G46" s="101"/>
      <c r="H46" s="71"/>
      <c r="J46" s="77"/>
      <c r="K46" s="78"/>
      <c r="L46" s="77"/>
      <c r="M46" s="77"/>
      <c r="N46" s="77"/>
    </row>
    <row r="47" spans="2:14" ht="18.75" x14ac:dyDescent="0.25">
      <c r="B47" s="166" t="s">
        <v>102</v>
      </c>
      <c r="C47" s="167"/>
      <c r="D47" s="167"/>
      <c r="E47" s="167"/>
      <c r="F47" s="167"/>
      <c r="G47" s="167"/>
      <c r="H47" s="167"/>
    </row>
    <row r="48" spans="2:14" x14ac:dyDescent="0.25">
      <c r="B48" s="71"/>
      <c r="D48" s="93"/>
      <c r="E48" s="71"/>
      <c r="F48" s="105"/>
      <c r="G48" s="71"/>
      <c r="H48" s="86"/>
    </row>
    <row r="49" spans="2:8" ht="15.75" thickBot="1" x14ac:dyDescent="0.3">
      <c r="B49" s="71"/>
      <c r="C49" s="88" t="s">
        <v>21</v>
      </c>
      <c r="D49" s="106">
        <f>(1+COUNTBLANK('RESULTADO (DRE)'!F84:Q84))*3</f>
        <v>12</v>
      </c>
      <c r="E49" s="71"/>
      <c r="F49" s="71"/>
      <c r="G49" s="71"/>
      <c r="H49" s="71"/>
    </row>
    <row r="50" spans="2:8" ht="16.5" thickTop="1" thickBot="1" x14ac:dyDescent="0.3">
      <c r="B50" s="71"/>
      <c r="C50" s="88" t="s">
        <v>22</v>
      </c>
      <c r="D50" s="107">
        <f>(1+COUNTBLANK('RESULTADO (DRE)'!F85:Q85))*3</f>
        <v>21</v>
      </c>
      <c r="E50" s="71"/>
      <c r="F50" s="72"/>
      <c r="G50" s="71"/>
      <c r="H50" s="86"/>
    </row>
    <row r="51" spans="2:8" ht="15.75" thickTop="1" x14ac:dyDescent="0.25">
      <c r="C51" s="88"/>
      <c r="D51" s="108"/>
    </row>
  </sheetData>
  <sheetProtection sheet="1" objects="1" scenarios="1"/>
  <mergeCells count="20">
    <mergeCell ref="J38:L39"/>
    <mergeCell ref="M36:N37"/>
    <mergeCell ref="M38:N39"/>
    <mergeCell ref="B42:H42"/>
    <mergeCell ref="B47:H47"/>
    <mergeCell ref="J40:L41"/>
    <mergeCell ref="M40:N41"/>
    <mergeCell ref="J42:L43"/>
    <mergeCell ref="M42:N43"/>
    <mergeCell ref="B2:M2"/>
    <mergeCell ref="B4:M4"/>
    <mergeCell ref="B3:E3"/>
    <mergeCell ref="B30:H30"/>
    <mergeCell ref="B36:H36"/>
    <mergeCell ref="J30:N31"/>
    <mergeCell ref="J32:L33"/>
    <mergeCell ref="J34:L35"/>
    <mergeCell ref="M32:N33"/>
    <mergeCell ref="M34:N35"/>
    <mergeCell ref="J36:L37"/>
  </mergeCells>
  <pageMargins left="0.511811024" right="0.511811024" top="0.78740157499999996" bottom="0.78740157499999996" header="0.31496062000000002" footer="0.31496062000000002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PREMISSAS</vt:lpstr>
      <vt:lpstr>RH</vt:lpstr>
      <vt:lpstr>RESULTADO (DRE)</vt:lpstr>
      <vt:lpstr>VIABILIDADE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Maciel</dc:creator>
  <cp:keywords/>
  <dc:description/>
  <cp:lastModifiedBy>Marcio Braga</cp:lastModifiedBy>
  <dcterms:created xsi:type="dcterms:W3CDTF">2014-08-26T22:49:57Z</dcterms:created>
  <dcterms:modified xsi:type="dcterms:W3CDTF">2026-05-25T21:42:12Z</dcterms:modified>
  <cp:category/>
</cp:coreProperties>
</file>